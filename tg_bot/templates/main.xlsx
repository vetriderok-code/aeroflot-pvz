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40" windowHeight="7065" activeTab="1"/>
  </bookViews>
  <sheets>
    <sheet name="главная" sheetId="1" r:id="rId1"/>
    <sheet name="8 (Отряд)" sheetId="2" r:id="rId2"/>
    <sheet name="ИТОГО" sheetId="3" r:id="rId3"/>
    <sheet name="Эффективность (...) дроны" sheetId="4" r:id="rId4"/>
    <sheet name="Справочная информация" sheetId="5" r:id="rId5"/>
    <sheet name="Уточнения" sheetId="6" r:id="rId6"/>
    <sheet name="Нетрогать " sheetId="7" r:id="rId7"/>
    <sheet name="Разделение ячеек" sheetId="8" r:id="rId8"/>
  </sheets>
  <externalReferences>
    <externalReference r:id="rId10"/>
    <externalReference r:id="rId11"/>
    <externalReference r:id="rId12"/>
  </externalReferences>
  <definedNames>
    <definedName name="_xlnm._FilterDatabase" localSheetId="1" hidden="1">'8 (Отряд)'!$A$1:$Q$304</definedName>
    <definedName name="Автомобильная_техника">#REF!</definedName>
    <definedName name="Боевые_машины">#REF!</definedName>
    <definedName name="бп">Таблица9[Столбец1]</definedName>
    <definedName name="БПЛА">#REF!</definedName>
    <definedName name="Бронеавтомобили_и_MRAP">#REF!</definedName>
    <definedName name="Буксируемая_артиллерия">#REF!</definedName>
    <definedName name="дроны">Таблица2[Столбец1]</definedName>
    <definedName name="Инженерная_техника">#REF!</definedName>
    <definedName name="Инженерные_сооружения">#REF!</definedName>
    <definedName name="Личный_состав">'[1]Справочная информация'!$C$2:$C$3</definedName>
    <definedName name="Надводные_суда">#REF!</definedName>
    <definedName name="Общий___Центр">#REF!</definedName>
    <definedName name="Переносные_ударные_системы">#REF!</definedName>
    <definedName name="подразделения">Таблица1[Столбец1]</definedName>
    <definedName name="расчет">Таблица3[Столбец1]</definedName>
    <definedName name="расчеты">'Нетрогать '!$A$5:$A$59</definedName>
    <definedName name="Самоходная_артиллерия">#REF!</definedName>
    <definedName name="Системы_залпового_огня">#REF!</definedName>
    <definedName name="Системы_ПВО">#REF!</definedName>
    <definedName name="Системы_связи">#REF!</definedName>
    <definedName name="Танк">#REF!</definedName>
    <definedName name="Танки">#REF!</definedName>
    <definedName name="уточнение">#REF!</definedName>
    <definedName name="характер">Таблица4[Столбец1]</definedName>
    <definedName name="цель">#REF!</definedName>
    <definedName name="_xlnm.Print_Area" localSheetId="0">главная!$A$1:$I$93</definedName>
    <definedName name="Автомобильная_техника" localSheetId="1">#REF!</definedName>
    <definedName name="Боевые_машины" localSheetId="1">#REF!</definedName>
    <definedName name="бп" localSheetId="1">'C:\Users\rvolo\OneDrive\Рабочий стол\Работа с ИБД\ИД отряда (Ю) от 25.05.25.xlsx'!Таблица9[Столбец1]</definedName>
    <definedName name="БПЛА" localSheetId="1">#REF!</definedName>
    <definedName name="Бронеавтомобили_и_MRAP" localSheetId="1">#REF!</definedName>
    <definedName name="Буксируемая_артиллерия" localSheetId="1">#REF!</definedName>
    <definedName name="дроны" localSheetId="1">'C:\Users\rvolo\OneDrive\Рабочий стол\Работа с ИБД\ИД отряда (Ю) от 25.05.25.xlsx'!Таблица2[Столбец1]</definedName>
    <definedName name="Инженерная_техника" localSheetId="1">#REF!</definedName>
    <definedName name="Инженерные_сооружения" localSheetId="1">#REF!</definedName>
    <definedName name="Надводные_суда" localSheetId="1">#REF!</definedName>
    <definedName name="Общий___Центр" localSheetId="1">#REF!</definedName>
    <definedName name="Переносные_ударные_системы" localSheetId="1">#REF!</definedName>
    <definedName name="подразделения" localSheetId="1">'C:\Users\rvolo\OneDrive\Рабочий стол\Работа с ИБД\ИД отряда (Ю) от 25.05.25.xlsx'!Таблица1[Столбец1]</definedName>
    <definedName name="расчет" localSheetId="1">'C:\Users\rvolo\OneDrive\Рабочий стол\Работа с ИБД\ИД отряда (Ю) от 25.05.25.xlsx'!Таблица3[Столбец1]</definedName>
    <definedName name="Самоходная_артиллерия" localSheetId="1">#REF!</definedName>
    <definedName name="Системы_залпового_огня" localSheetId="1">#REF!</definedName>
    <definedName name="Системы_ПВО" localSheetId="1">#REF!</definedName>
    <definedName name="Системы_связи" localSheetId="1">#REF!</definedName>
    <definedName name="Танк" localSheetId="1">#REF!</definedName>
    <definedName name="Танки" localSheetId="1">#REF!</definedName>
    <definedName name="уточнение" localSheetId="1">#REF!</definedName>
    <definedName name="характер" localSheetId="1">'C:\Users\rvolo\OneDrive\Рабочий стол\Работа с ИБД\ИД отряда (Ю) от 25.05.25.xlsx'!Таблица4[Столбец1]</definedName>
    <definedName name="цель" localSheetId="1">'C:\Users\rvolo\OneDrive\Рабочий стол\Работа с ИБД\ИД отряда (Ю) от 25.05.25.xlsx'!Таблица5[Столбец1]</definedName>
    <definedName name="_xlnm.Print_Area" localSheetId="1">'8 (Отряд)'!$A$1:$Y$304</definedName>
    <definedName name="_xlnm.Print_Area" localSheetId="2">ИТОГО!$A$1:$U$49</definedName>
    <definedName name="Автомобильная_техника" localSheetId="4">'Справочная информация'!#REF!</definedName>
    <definedName name="Боевые_машины" localSheetId="4">'Справочная информация'!#REF!</definedName>
    <definedName name="бп" localSheetId="4">'C:\Users\Ноктбук №3\Desktop\образцы по отрядно\ИД отряда (Ц) от 00.00.25.xlsx'!Таблица9[Столбец1]</definedName>
    <definedName name="БПЛА" localSheetId="4">'Справочная информация'!#REF!</definedName>
    <definedName name="Бронеавтомобили_и_MRAP" localSheetId="4">'Справочная информация'!#REF!</definedName>
    <definedName name="Буксируемая_артиллерия" localSheetId="4">'Справочная информация'!#REF!</definedName>
    <definedName name="дроны" localSheetId="4">'C:\Users\Ноктбук №3\Desktop\образцы по отрядно\ИД отряда (Ц) от 00.00.25.xlsx'!Таблица2[Столбец1]</definedName>
    <definedName name="Инженерная_техника" localSheetId="4">'Справочная информация'!#REF!</definedName>
    <definedName name="Инженерные_сооружения" localSheetId="4">'Справочная информация'!#REF!</definedName>
    <definedName name="Личный_состав" localSheetId="4">'Справочная информация'!#REF!</definedName>
    <definedName name="Надводные_суда" localSheetId="4">'Справочная информация'!#REF!</definedName>
    <definedName name="Переносные_ударные_системы" localSheetId="4">'Справочная информация'!#REF!</definedName>
    <definedName name="подразделения" localSheetId="4">'C:\Users\Ноктбук №3\Desktop\образцы по отрядно\ИД отряда (Ц) от 00.00.25.xlsx'!Таблица1[Столбец1]</definedName>
    <definedName name="расчет" localSheetId="4">'C:\Users\Ноктбук №3\Desktop\образцы по отрядно\ИД отряда (Ц) от 00.00.25.xlsx'!Таблица3[Столбец1]</definedName>
    <definedName name="Самоходная_артиллерия" localSheetId="4">'Справочная информация'!#REF!</definedName>
    <definedName name="Системы_залпового_огня" localSheetId="4">'Справочная информация'!#REF!</definedName>
    <definedName name="Системы_ПВО" localSheetId="4">'Справочная информация'!#REF!</definedName>
    <definedName name="Системы_связи" localSheetId="4">'Справочная информация'!#REF!</definedName>
    <definedName name="Танк" localSheetId="4">'Справочная информация'!#REF!</definedName>
    <definedName name="Танки" localSheetId="4">'Справочная информация'!#REF!</definedName>
    <definedName name="характер" localSheetId="4">'C:\Users\Ноктбук №3\Desktop\образцы по отрядно\ИД отряда (Ц) от 00.00.25.xlsx'!Таблица4[Столбец1]</definedName>
    <definedName name="цель" localSheetId="4">'C:\Users\Ноктбук №3\Desktop\образцы по отрядно\ИД отряда (Ц) от 00.00.25.xlsx'!Таблица5[Столбец1]</definedName>
    <definedName name="Автомобильная_техника" localSheetId="5">#REF!</definedName>
    <definedName name="Боевые_машины" localSheetId="5">#REF!</definedName>
    <definedName name="бп" localSheetId="5">'C:\Users\User 8\Documents\ИД_отряда_Д_от_12_05_25 .xlsx'!Таблица9[Столбец1]</definedName>
    <definedName name="БПЛА" localSheetId="5">#REF!</definedName>
    <definedName name="Бронеавтомобили_и_MRAP" localSheetId="5">#REF!</definedName>
    <definedName name="Буксируемая_артиллерия" localSheetId="5">#REF!</definedName>
    <definedName name="дроны" localSheetId="5">'C:\Users\User 8\Documents\ИД_отряда_Д_от_12_05_25 .xlsx'!Таблица2[Столбец1]</definedName>
    <definedName name="Инженерная_техника" localSheetId="5">#REF!</definedName>
    <definedName name="Инженерные_сооружения" localSheetId="5">#REF!</definedName>
    <definedName name="Надводные_суда" localSheetId="5">#REF!</definedName>
    <definedName name="Переносные_ударные_системы" localSheetId="5">#REF!</definedName>
    <definedName name="подразделения" localSheetId="5">'C:\Users\User 8\Documents\ИД_отряда_Д_от_12_05_25 .xlsx'!Таблица1[Столбец1]</definedName>
    <definedName name="расчет" localSheetId="5">'C:\Users\User 8\Documents\ИД_отряда_Д_от_12_05_25 .xlsx'!Таблица3[Столбец1]</definedName>
    <definedName name="Самоходная_артиллерия" localSheetId="5">#REF!</definedName>
    <definedName name="Системы_залпового_огня" localSheetId="5">#REF!</definedName>
    <definedName name="Системы_ПВО" localSheetId="5">#REF!</definedName>
    <definedName name="Системы_связи" localSheetId="5">#REF!</definedName>
    <definedName name="Танк" localSheetId="5">#REF!</definedName>
    <definedName name="Танки" localSheetId="5">#REF!</definedName>
    <definedName name="уточнение" localSheetId="5">#REF!</definedName>
    <definedName name="характер" localSheetId="5">'C:\Users\User 8\Documents\ИД_отряда_Д_от_12_05_25 .xlsx'!Таблица4[Столбец1]</definedName>
    <definedName name="цель" localSheetId="5">'C:\Users\User 8\Documents\ИД_отряда_Д_от_12_05_25 .xlsx'!Таблица5[Столбец1]</definedName>
    <definedName name="Автомобильная_техника" localSheetId="7">#REF!</definedName>
    <definedName name="Боевые_машины" localSheetId="7">#REF!</definedName>
    <definedName name="бп" localSheetId="7">'C:\Users\User 8\Desktop\ИД_отряда_Р_от_08_05_25_ .xlsx'!Таблица9[Столбец1]</definedName>
    <definedName name="БПЛА" localSheetId="7">#REF!</definedName>
    <definedName name="Бронеавтомобили_и_MRAP" localSheetId="7">#REF!</definedName>
    <definedName name="Буксируемая_артиллерия" localSheetId="7">#REF!</definedName>
    <definedName name="дроны" localSheetId="7">'C:\Users\User 8\Desktop\ИД_отряда_Р_от_08_05_25_ .xlsx'!Таблица2[Столбец1]</definedName>
    <definedName name="Инженерная_техника" localSheetId="7">#REF!</definedName>
    <definedName name="Инженерные_сооружения" localSheetId="7">#REF!</definedName>
    <definedName name="Надводные_суда" localSheetId="7">#REF!</definedName>
    <definedName name="Общий___Центр" localSheetId="7">[2]Сумарно!$C$27</definedName>
    <definedName name="Переносные_ударные_системы" localSheetId="7">#REF!</definedName>
    <definedName name="подразделения" localSheetId="7">'C:\Users\User 8\Desktop\ИД_отряда_Р_от_08_05_25_ .xlsx'!Таблица1[Столбец1]</definedName>
    <definedName name="расчет" localSheetId="7">'C:\Users\User 8\Desktop\ИД_отряда_Р_от_08_05_25_ .xlsx'!Таблица3[Столбец1]</definedName>
    <definedName name="Самоходная_артиллерия" localSheetId="7">#REF!</definedName>
    <definedName name="Системы_залпового_огня" localSheetId="7">#REF!</definedName>
    <definedName name="Системы_ПВО" localSheetId="7">#REF!</definedName>
    <definedName name="Системы_связи" localSheetId="7">#REF!</definedName>
    <definedName name="Танк" localSheetId="7">#REF!</definedName>
    <definedName name="Танки" localSheetId="7">#REF!</definedName>
    <definedName name="уточнение" localSheetId="7">#REF!</definedName>
    <definedName name="характер" localSheetId="7">'C:\Users\User 8\Desktop\ИД_отряда_Р_от_08_05_25_ .xlsx'!Таблица4[Столбец1]</definedName>
    <definedName name="цель" localSheetId="7">'C:\Users\User 8\Desktop\ИД_отряда_Р_от_08_05_25_ .xlsx'!Таблица5[Столбец1]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<sst xmlns="http://schemas.openxmlformats.org/spreadsheetml/2006/main" count="1081" uniqueCount="380">
  <si>
    <t>Итоговое донесение</t>
  </si>
  <si>
    <t>о результатах огневого поражения противника</t>
  </si>
  <si>
    <t xml:space="preserve">на Красноармейском тактическом направлении отряда </t>
  </si>
  <si>
    <t xml:space="preserve"> "Рубикон-8"  в период с 08:00 </t>
  </si>
  <si>
    <t>03.09</t>
  </si>
  <si>
    <t>по 08.00</t>
  </si>
  <si>
    <t>04.09.2025г.</t>
  </si>
  <si>
    <t>1.Расчеты, задействованные в боевой работе:</t>
  </si>
  <si>
    <t>FPV К.Т. -</t>
  </si>
  <si>
    <t>14 расчетов</t>
  </si>
  <si>
    <t>Zala-</t>
  </si>
  <si>
    <t>2 расчета</t>
  </si>
  <si>
    <t>FPV С.Т. -</t>
  </si>
  <si>
    <t>6 расчетов</t>
  </si>
  <si>
    <t>Lancet-</t>
  </si>
  <si>
    <t>Supercam-</t>
  </si>
  <si>
    <t>Черный глаз-</t>
  </si>
  <si>
    <t>4 расчета</t>
  </si>
  <si>
    <t>Скальпель-</t>
  </si>
  <si>
    <t xml:space="preserve">0 расчетов </t>
  </si>
  <si>
    <t>ПВО БЯ</t>
  </si>
  <si>
    <t>Орлан-10</t>
  </si>
  <si>
    <t>2.	Результаты боевого применения:</t>
  </si>
  <si>
    <t>FPV К.Т.</t>
  </si>
  <si>
    <t>FPV C.Т.</t>
  </si>
  <si>
    <t>Итого</t>
  </si>
  <si>
    <t>танк</t>
  </si>
  <si>
    <t>самоходное артиллерийское орудие</t>
  </si>
  <si>
    <t>буксируемое артиллерийское орудие</t>
  </si>
  <si>
    <t>РСЗО</t>
  </si>
  <si>
    <t>миномет</t>
  </si>
  <si>
    <t>ПТРК</t>
  </si>
  <si>
    <t>зенитная установка</t>
  </si>
  <si>
    <t>боевая машина пехоты</t>
  </si>
  <si>
    <t>бронетранспортер</t>
  </si>
  <si>
    <t>боевая бронированная машина</t>
  </si>
  <si>
    <t>РЛС</t>
  </si>
  <si>
    <t>РЭР</t>
  </si>
  <si>
    <t>РЭБ</t>
  </si>
  <si>
    <t>автомобильная техника</t>
  </si>
  <si>
    <t>мототехника</t>
  </si>
  <si>
    <t>инженерная техника</t>
  </si>
  <si>
    <t>ПУ БпЛА</t>
  </si>
  <si>
    <t>БпЛА</t>
  </si>
  <si>
    <t>Наземные дроны</t>
  </si>
  <si>
    <t>Баба Яга</t>
  </si>
  <si>
    <t>пункт управления</t>
  </si>
  <si>
    <t>склад БК</t>
  </si>
  <si>
    <t>склад ГСМ</t>
  </si>
  <si>
    <t>огневая позиция</t>
  </si>
  <si>
    <t>пункт временной дислокации</t>
  </si>
  <si>
    <t>инженерное сооружение</t>
  </si>
  <si>
    <t>система связи</t>
  </si>
  <si>
    <t>живая сила 200</t>
  </si>
  <si>
    <t>живая сила 300</t>
  </si>
  <si>
    <t>средства жизнеобеспечения</t>
  </si>
  <si>
    <t>огневые средства</t>
  </si>
  <si>
    <t>макет</t>
  </si>
  <si>
    <t>системой РЭБ "черный глаз" подавлено</t>
  </si>
  <si>
    <t>3.	Расход средств поражения:</t>
  </si>
  <si>
    <t>Дроны:</t>
  </si>
  <si>
    <t>кол-во</t>
  </si>
  <si>
    <t>Боеприпасы:</t>
  </si>
  <si>
    <t>Командир  отряда "Рубикон-8"</t>
  </si>
  <si>
    <t>Капитан</t>
  </si>
  <si>
    <t>В.Стройков</t>
  </si>
  <si>
    <t>В полосе ответственности 2 ОА</t>
  </si>
  <si>
    <t>№ п/п</t>
  </si>
  <si>
    <t>Время</t>
  </si>
  <si>
    <t>Характер цели</t>
  </si>
  <si>
    <t>уточнение</t>
  </si>
  <si>
    <t>координаты уничтоженой цели</t>
  </si>
  <si>
    <t>Ближайший н.п (уничтоженой цели)</t>
  </si>
  <si>
    <t>Тип дрона и расход</t>
  </si>
  <si>
    <t>кол-во дронов</t>
  </si>
  <si>
    <t xml:space="preserve"> Вид БП и расход</t>
  </si>
  <si>
    <t>кол-во бп</t>
  </si>
  <si>
    <t>Вид взрывателя и расход</t>
  </si>
  <si>
    <t>цель применения</t>
  </si>
  <si>
    <t>Результат применения</t>
  </si>
  <si>
    <t>В чьих интересах</t>
  </si>
  <si>
    <t>Х</t>
  </si>
  <si>
    <t>У</t>
  </si>
  <si>
    <t>6:30-6:30</t>
  </si>
  <si>
    <t xml:space="preserve">FPV К.Т.          FPV С.Т.  </t>
  </si>
  <si>
    <t>ЧГ</t>
  </si>
  <si>
    <t>подавление</t>
  </si>
  <si>
    <t>успешно</t>
  </si>
  <si>
    <t>2 ОА</t>
  </si>
  <si>
    <t>F</t>
  </si>
  <si>
    <t>Молния-2ДТ</t>
  </si>
  <si>
    <t>КОЗБЧ-5</t>
  </si>
  <si>
    <t>УДЗ</t>
  </si>
  <si>
    <t>Патрулирование</t>
  </si>
  <si>
    <t>-</t>
  </si>
  <si>
    <t>true</t>
  </si>
  <si>
    <t>Межова</t>
  </si>
  <si>
    <t>13:37</t>
  </si>
  <si>
    <t>ПВД</t>
  </si>
  <si>
    <t>1212123</t>
  </si>
  <si>
    <t>2323234</t>
  </si>
  <si>
    <t>Молния-2</t>
  </si>
  <si>
    <t>1</t>
  </si>
  <si>
    <t>УдивДД+МД5М</t>
  </si>
  <si>
    <t>уничтожение</t>
  </si>
  <si>
    <t>поражено</t>
  </si>
  <si>
    <t>Космос</t>
  </si>
  <si>
    <t>13:42</t>
  </si>
  <si>
    <t>2121321</t>
  </si>
  <si>
    <t>Утка Н</t>
  </si>
  <si>
    <t>УдивДД</t>
  </si>
  <si>
    <t>35</t>
  </si>
  <si>
    <t>Красноармейское  тактическое направление</t>
  </si>
  <si>
    <t xml:space="preserve">Суточная эфективность: </t>
  </si>
  <si>
    <t>Внимание!!! В первую очередь перенеси данные со вчерашнего донесения</t>
  </si>
  <si>
    <t xml:space="preserve">Суммарная эфективность: </t>
  </si>
  <si>
    <t>данные вписывать обязательно.Используются в подсчетах</t>
  </si>
  <si>
    <t>накопительная таблица за вчерашний день. Копировать и вставить со вчерашней</t>
  </si>
  <si>
    <t>суммарная эфективность за вчерашний день.</t>
  </si>
  <si>
    <t xml:space="preserve">1. Поражено: </t>
  </si>
  <si>
    <t xml:space="preserve">2. Итого применено: </t>
  </si>
  <si>
    <t xml:space="preserve">4. Накопительная таблица </t>
  </si>
  <si>
    <t>за сутки</t>
  </si>
  <si>
    <t xml:space="preserve">С 08:00 19.06.25 по 08:00 </t>
  </si>
  <si>
    <t>На листе "Сумарно" вписать:
1. В верхнем столбце вписать количество примененных дронов(Итого примененно)
2. В нижнем столбце вписать количество успешных дронов.
Таблица автоматически считает и выводит на лист Итого в Сумарную эффективность.</t>
  </si>
  <si>
    <t xml:space="preserve">3. Успешные применения: </t>
  </si>
  <si>
    <t xml:space="preserve"> РЭБ "черный глаз" подавлено</t>
  </si>
  <si>
    <t>Подсчет по донесениям в ГБУ</t>
  </si>
  <si>
    <t>Всего …</t>
  </si>
  <si>
    <t>КВН</t>
  </si>
  <si>
    <t>КВН-Т</t>
  </si>
  <si>
    <t>ПВХ-1</t>
  </si>
  <si>
    <t>ПВХ-1Т</t>
  </si>
  <si>
    <t>ПВХ-1 "Сумрак"</t>
  </si>
  <si>
    <t>ПВХ-3</t>
  </si>
  <si>
    <t>ПВХ-3Т</t>
  </si>
  <si>
    <t>Бумеранг-10 (День)</t>
  </si>
  <si>
    <t>Бумеранг-10 (Ночь)</t>
  </si>
  <si>
    <t>ПВХ-5</t>
  </si>
  <si>
    <t>ПВХ-5Т</t>
  </si>
  <si>
    <t>ОСА 10-15</t>
  </si>
  <si>
    <t>ОСА 10-30</t>
  </si>
  <si>
    <t>Молния-2 ИИ</t>
  </si>
  <si>
    <t>Утка Д</t>
  </si>
  <si>
    <t>X51</t>
  </si>
  <si>
    <t>Х52</t>
  </si>
  <si>
    <t>Всего</t>
  </si>
  <si>
    <t>Успешные …</t>
  </si>
  <si>
    <t>Процент суточный</t>
  </si>
  <si>
    <t>Всего использовано</t>
  </si>
  <si>
    <t>Всего успешных</t>
  </si>
  <si>
    <t>Общий % …</t>
  </si>
  <si>
    <t>ЮГ</t>
  </si>
  <si>
    <t xml:space="preserve">Всего использовано </t>
  </si>
  <si>
    <t>% эффективности</t>
  </si>
  <si>
    <t>Огромная просьба не изменять данные в первой таблице, если вы заметели расход дронов помечайте желтым цветом сверху над второй таблице или снизу под первой, будем разбираться в этой ситуации. Подсчет дронов в первой таблице был взят из Итоговых Донесений(мы их распечатываем кажый день).</t>
  </si>
  <si>
    <t>Уточнение</t>
  </si>
  <si>
    <t>Все танки</t>
  </si>
  <si>
    <t>Самоходная артиллерия</t>
  </si>
  <si>
    <t>Все самоходно артиллерийские установки</t>
  </si>
  <si>
    <t>Буксируемая артиллерия</t>
  </si>
  <si>
    <t>Все буксируемые орудия</t>
  </si>
  <si>
    <t>Все известные реактивные системы залпового огня. Включая самодельные установки</t>
  </si>
  <si>
    <t>Минометы всех калибров</t>
  </si>
  <si>
    <t>Противотанковые комплексы на колесной или гусеничной базе</t>
  </si>
  <si>
    <t>Зенитная установка</t>
  </si>
  <si>
    <t xml:space="preserve">Все зенитные установки </t>
  </si>
  <si>
    <t>Боевая машина пехоты</t>
  </si>
  <si>
    <t>Все модели БМП</t>
  </si>
  <si>
    <t>бронетранспортёр</t>
  </si>
  <si>
    <t xml:space="preserve">Все модели бронетранспортеров </t>
  </si>
  <si>
    <t>Боевая бронированная машина</t>
  </si>
  <si>
    <t xml:space="preserve">Все боевые бронированные машины </t>
  </si>
  <si>
    <t>Все модификации переносных и возимых РЛС</t>
  </si>
  <si>
    <t>Все модификации носимых и возимых средств РЭР</t>
  </si>
  <si>
    <t xml:space="preserve">Все модификации носимых и возимых средств РЭБ +Антенны </t>
  </si>
  <si>
    <t>Автомобильная техника</t>
  </si>
  <si>
    <t>Вся колесная техника за исключением мототехники</t>
  </si>
  <si>
    <t>Мототехника</t>
  </si>
  <si>
    <t>Мотоциклы, квадроциклы и тд</t>
  </si>
  <si>
    <t>Инженерная техника</t>
  </si>
  <si>
    <t xml:space="preserve">Техника инженерного обеспечение </t>
  </si>
  <si>
    <t>Пункты управления всеми видами БпЛА</t>
  </si>
  <si>
    <t>Уничтожение данного дрона в небе и на земле</t>
  </si>
  <si>
    <t>БпЛа</t>
  </si>
  <si>
    <t>Уничтожение остальных БпЛА  в небе и на земле</t>
  </si>
  <si>
    <t>Пункт управления</t>
  </si>
  <si>
    <t xml:space="preserve">Пункты управления соединений и воинских частей противника </t>
  </si>
  <si>
    <t>Склад БК</t>
  </si>
  <si>
    <t>Ящики с бк, капонир с бк, дом с бк и тд</t>
  </si>
  <si>
    <t>Склад ГСМ</t>
  </si>
  <si>
    <t>канистры с ГСМ, бочки, ангары с топливом и тд</t>
  </si>
  <si>
    <t>Огневая позиция</t>
  </si>
  <si>
    <t>Окопы, траншеи, инженерные сооружения, блок посты и все что было произведено в инженерном отношении для ведения боевых действий противником в ходе СВО</t>
  </si>
  <si>
    <t>Инженерное сооружение</t>
  </si>
  <si>
    <t>мосты, здания без личного сотава, а так же другие обьекты принятые к поражению с целью выполнения задачи.</t>
  </si>
  <si>
    <t>Пункт временной дислокации</t>
  </si>
  <si>
    <t>Дома, здания, ангары, подвалы и тд. Все что противник занял для выполнения боевых задач</t>
  </si>
  <si>
    <t>Система связи</t>
  </si>
  <si>
    <t>Антенны бпла, антенны связи, вышки, тарелки, старлинки и все что связано с обеспечением связи</t>
  </si>
  <si>
    <t>Живая сила 200</t>
  </si>
  <si>
    <t>Безвозвратная потеря в личном составе противника</t>
  </si>
  <si>
    <t>Живая сила 300</t>
  </si>
  <si>
    <t>Возвратная потеря в личном составе противника</t>
  </si>
  <si>
    <t>Средства жизнеобеспечения</t>
  </si>
  <si>
    <t>Генераторы, электроподстанции и тд. Все что помогает противнику выполнять задачи в бытовом отношении</t>
  </si>
  <si>
    <t>Огневые средства</t>
  </si>
  <si>
    <t>Гранатометы, пулеметы, переносные птуры и тд. В уточнении указывать с пометкой расчет….Так как пулемет, гранатамет и тд не является самостоятельной боево единицей.</t>
  </si>
  <si>
    <t xml:space="preserve">Макеты </t>
  </si>
  <si>
    <t>Минирование</t>
  </si>
  <si>
    <t>координгаты уничтоженой цели</t>
  </si>
  <si>
    <t>Ближайший н.п (Уничтоженой цели)</t>
  </si>
  <si>
    <t>минирование</t>
  </si>
  <si>
    <t>Покровск</t>
  </si>
  <si>
    <t>ПОМ-2</t>
  </si>
  <si>
    <t>Выполнено</t>
  </si>
  <si>
    <t>41 ОА ГрВ "Ц"</t>
  </si>
  <si>
    <t>(+1 к всего дронов применено)</t>
  </si>
  <si>
    <t>В случае удачной дитонации мин(нужен Объект.Контроль или снимок)</t>
  </si>
  <si>
    <t>Успешно</t>
  </si>
  <si>
    <t>(+1 пременения к дронам в странице Итого)</t>
  </si>
  <si>
    <t>Поражение</t>
  </si>
  <si>
    <t>1 вариант при попадание в технику(все движущийся и летающие объекты) или ПВД,Огнвые позиции и тд.(Работа по целям) Пишем Поражения(Поражение - это попадание в цель(не в район цели), но цель уехала или получила незначительный урон)</t>
  </si>
  <si>
    <t>Богдан 2351</t>
  </si>
  <si>
    <t>ПГ-7С</t>
  </si>
  <si>
    <t>поражение</t>
  </si>
  <si>
    <t>Работа по цели от 162ц</t>
  </si>
  <si>
    <t>КЗ-6</t>
  </si>
  <si>
    <t>ЭДПР</t>
  </si>
  <si>
    <t>Работа по цели от артилерии</t>
  </si>
  <si>
    <t>ПТАБ</t>
  </si>
  <si>
    <t>Matrice</t>
  </si>
  <si>
    <t xml:space="preserve">2 вариант при потери управления, села акб, перехват другим бпла и тд. или недолет до цели(т.е. при поражении цели по которой небыло информации) </t>
  </si>
  <si>
    <t>недолет до цели</t>
  </si>
  <si>
    <t>КЗ-7</t>
  </si>
  <si>
    <t>не успешно</t>
  </si>
  <si>
    <t>свободная охота, контроль дороги и другие причины</t>
  </si>
  <si>
    <t>КЗ-8</t>
  </si>
  <si>
    <t>Добивание происходит при первичном поражении</t>
  </si>
  <si>
    <t>ПВХ-2</t>
  </si>
  <si>
    <t>добивание</t>
  </si>
  <si>
    <t>Но также модет быть и уничтожение при первичном поражении</t>
  </si>
  <si>
    <t>Уничтожение может быть при попадании и уничтожении цели(т.е. с первого раза), но не забывайте про объективный контроль</t>
  </si>
  <si>
    <t>Богдан 2350</t>
  </si>
  <si>
    <t>расчеты</t>
  </si>
  <si>
    <t>характер</t>
  </si>
  <si>
    <t>дроны</t>
  </si>
  <si>
    <t>боеприпасы</t>
  </si>
  <si>
    <t>подразделения</t>
  </si>
  <si>
    <t>цель</t>
  </si>
  <si>
    <t>результат</t>
  </si>
  <si>
    <t>Столбец1</t>
  </si>
  <si>
    <t>КОФЗБЧ-5</t>
  </si>
  <si>
    <t>уничтожено</t>
  </si>
  <si>
    <t>1 расчет</t>
  </si>
  <si>
    <t>КОФЗБЧ-4</t>
  </si>
  <si>
    <t>КОФЗБЧ-3</t>
  </si>
  <si>
    <t>не поражено</t>
  </si>
  <si>
    <t>3 расчета</t>
  </si>
  <si>
    <t>КОФЗБЧ-1.8</t>
  </si>
  <si>
    <t>ПВХ-1 Сумрак</t>
  </si>
  <si>
    <t>КОФБЧ-5</t>
  </si>
  <si>
    <t>5 расчетов</t>
  </si>
  <si>
    <t>КОЗБЧ-3</t>
  </si>
  <si>
    <t>КПТМ-3А</t>
  </si>
  <si>
    <t>7 расчетов</t>
  </si>
  <si>
    <t>КПТМ-3</t>
  </si>
  <si>
    <t>РЭР-</t>
  </si>
  <si>
    <t>8 расчетов</t>
  </si>
  <si>
    <t>ОФБЧ-5</t>
  </si>
  <si>
    <t>9 расчетов</t>
  </si>
  <si>
    <t>ОФБЧ-3</t>
  </si>
  <si>
    <t>10 расчетов</t>
  </si>
  <si>
    <t>ОФБЧ-2</t>
  </si>
  <si>
    <t>11 расчетов</t>
  </si>
  <si>
    <t>ОФСП-2.5</t>
  </si>
  <si>
    <t>12 расчетов</t>
  </si>
  <si>
    <t>ОФСП-1.7</t>
  </si>
  <si>
    <t>13 расчетов</t>
  </si>
  <si>
    <t>Ш-10</t>
  </si>
  <si>
    <t>ОФСП-0,8</t>
  </si>
  <si>
    <t>Х-51</t>
  </si>
  <si>
    <t>ТББЧ-2.5</t>
  </si>
  <si>
    <t>15 расчетов</t>
  </si>
  <si>
    <t>Х-52</t>
  </si>
  <si>
    <t>ПГ-7ВС</t>
  </si>
  <si>
    <t>16 расчетов</t>
  </si>
  <si>
    <t>Скальпель</t>
  </si>
  <si>
    <t>ПГ-7ВР</t>
  </si>
  <si>
    <t>17 расчетов</t>
  </si>
  <si>
    <t>ПГ-7ВЛ</t>
  </si>
  <si>
    <t>18 расчетов</t>
  </si>
  <si>
    <t>19 расчетов</t>
  </si>
  <si>
    <t>ПТМ-3</t>
  </si>
  <si>
    <t>20 расчетов</t>
  </si>
  <si>
    <t>ПТМ-1</t>
  </si>
  <si>
    <t>21 расчет</t>
  </si>
  <si>
    <t>22 расчета</t>
  </si>
  <si>
    <t>ТМ-62</t>
  </si>
  <si>
    <t>23 расчета</t>
  </si>
  <si>
    <t>ТМ-72</t>
  </si>
  <si>
    <t>24 расчета</t>
  </si>
  <si>
    <t>С8Ком</t>
  </si>
  <si>
    <t>25 расчетов</t>
  </si>
  <si>
    <t>26 расчетов</t>
  </si>
  <si>
    <t>СВУ</t>
  </si>
  <si>
    <t>27 расчетов</t>
  </si>
  <si>
    <t>ПГ-16</t>
  </si>
  <si>
    <t>28 расчетов</t>
  </si>
  <si>
    <t>ПГ-16В</t>
  </si>
  <si>
    <t>29 расчетов</t>
  </si>
  <si>
    <t>30 расчетов</t>
  </si>
  <si>
    <t>ПТАБ-2</t>
  </si>
  <si>
    <t>31 расчет</t>
  </si>
  <si>
    <t>ПТАБ-2,5 КО</t>
  </si>
  <si>
    <t>32 расчета</t>
  </si>
  <si>
    <t>ПТМС</t>
  </si>
  <si>
    <t>33 расчета</t>
  </si>
  <si>
    <t>ПМН4</t>
  </si>
  <si>
    <t>34 расчета</t>
  </si>
  <si>
    <t>ТББ-3</t>
  </si>
  <si>
    <t>35 расчетов</t>
  </si>
  <si>
    <t>КОЗБЧ-1,8</t>
  </si>
  <si>
    <t xml:space="preserve">36 расчетов </t>
  </si>
  <si>
    <t>ТБГ-7В</t>
  </si>
  <si>
    <t>37 расчетов</t>
  </si>
  <si>
    <t>ПГ-16С</t>
  </si>
  <si>
    <t>38 расчетов</t>
  </si>
  <si>
    <t>Шипы</t>
  </si>
  <si>
    <t>39 расчетов</t>
  </si>
  <si>
    <t>Зажигалка</t>
  </si>
  <si>
    <t>40 расчетов</t>
  </si>
  <si>
    <t>АТАКА-М</t>
  </si>
  <si>
    <t>41 расчет</t>
  </si>
  <si>
    <t>9М115(МЕТИС)</t>
  </si>
  <si>
    <t>42 расчета</t>
  </si>
  <si>
    <t>КБ-80</t>
  </si>
  <si>
    <t>43 расчета</t>
  </si>
  <si>
    <t>КОТБЧ-5</t>
  </si>
  <si>
    <t>44 расчета</t>
  </si>
  <si>
    <t>КОБЧ-2,5</t>
  </si>
  <si>
    <t>45 расчетов</t>
  </si>
  <si>
    <t>КБЧ-4,5(Атака)</t>
  </si>
  <si>
    <t>46 расчетов</t>
  </si>
  <si>
    <t>ДКРП-4</t>
  </si>
  <si>
    <t>47 расчетов</t>
  </si>
  <si>
    <t>КАПЛЯ</t>
  </si>
  <si>
    <t>48 расчетов</t>
  </si>
  <si>
    <t>Рапира</t>
  </si>
  <si>
    <t>49 расчетов</t>
  </si>
  <si>
    <t>РГН</t>
  </si>
  <si>
    <t>50 расчетов</t>
  </si>
  <si>
    <t>РКГ-3</t>
  </si>
  <si>
    <t>51 расчет</t>
  </si>
  <si>
    <t>БЧ 3.3</t>
  </si>
  <si>
    <t>52 расчета</t>
  </si>
  <si>
    <t>РКГ-3ЕМ</t>
  </si>
  <si>
    <t>53 расчета</t>
  </si>
  <si>
    <t>ОФСП-0,5</t>
  </si>
  <si>
    <t>54 расчета</t>
  </si>
  <si>
    <t>55 расчетов</t>
  </si>
  <si>
    <t>56 расчетов</t>
  </si>
  <si>
    <t>57 расчетов</t>
  </si>
  <si>
    <t>58 расчетов</t>
  </si>
  <si>
    <t>59 расчетов</t>
  </si>
  <si>
    <t>60 расчетов</t>
  </si>
  <si>
    <t>61 расчетов</t>
  </si>
  <si>
    <t>62 расчетов</t>
  </si>
  <si>
    <t>63 расчетов</t>
  </si>
  <si>
    <t>64 расчетов</t>
  </si>
  <si>
    <t>не определено</t>
  </si>
  <si>
    <t xml:space="preserve">Александро-Калиновское </t>
  </si>
  <si>
    <t>УДИВ-ДД - 6 шт.</t>
  </si>
  <si>
    <t>неуспешно</t>
  </si>
  <si>
    <t xml:space="preserve"> ГрВ "Ц"</t>
  </si>
  <si>
    <t>Здесь объединение 2х ячеек, при вставке в таблицу будет заниматься 2 ячейки, но засчет этого на одну цель можно записать несколько дронов</t>
  </si>
  <si>
    <t>Блиндаж</t>
  </si>
  <si>
    <t>УДЗ - 2 шт.</t>
  </si>
  <si>
    <t>Тоже самое, но на 3</t>
  </si>
  <si>
    <t>УДЗ - 1 шт.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</si>
</sst>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h:mm;@"/>
    <numFmt numFmtId="181" formatCode="dd\.mmm"/>
    <numFmt numFmtId="182" formatCode="0;\-0;;@"/>
    <numFmt numFmtId="183" formatCode="0.0%"/>
    <numFmt numFmtId="184" formatCode="0.0"/>
    <numFmt numFmtId="185" formatCode="dd\.mm\.yyyy"/>
    <numFmt numFmtId="186" formatCode="hh:mm"/>
    <numFmt numFmtId="187" formatCode="yyyy\-mm\-dd"/>
  </numFmts>
  <fonts count="54">
    <font>
      <sz val="11"/>
      <color theme="1"/>
      <name val="Calibri"/>
      <charset val="134"/>
      <scheme val="minor"/>
    </font>
    <font>
      <sz val="11"/>
      <name val="Times New Roman"/>
      <charset val="204"/>
    </font>
    <font>
      <sz val="11"/>
      <color theme="1"/>
      <name val="Calibri"/>
      <charset val="204"/>
      <scheme val="minor"/>
    </font>
    <font>
      <b/>
      <sz val="14"/>
      <color theme="1"/>
      <name val="Times New Roman"/>
      <charset val="204"/>
    </font>
    <font>
      <sz val="14"/>
      <color theme="1"/>
      <name val="Times New Roman"/>
      <charset val="204"/>
    </font>
    <font>
      <sz val="14"/>
      <color theme="1"/>
      <name val="Times New Roman"/>
      <charset val="134"/>
    </font>
    <font>
      <sz val="11"/>
      <color theme="1"/>
      <name val="Times New Roman"/>
      <charset val="204"/>
    </font>
    <font>
      <b/>
      <sz val="11"/>
      <color theme="0"/>
      <name val="Times New Roman"/>
      <charset val="204"/>
    </font>
    <font>
      <sz val="14"/>
      <color theme="1"/>
      <name val="Calibri"/>
      <charset val="134"/>
      <scheme val="minor"/>
    </font>
    <font>
      <sz val="12"/>
      <color rgb="FF000000"/>
      <name val="Times New Roman"/>
      <charset val="204"/>
    </font>
    <font>
      <sz val="16"/>
      <color theme="1"/>
      <name val="Calibri"/>
      <charset val="204"/>
      <scheme val="minor"/>
    </font>
    <font>
      <sz val="16"/>
      <color theme="1"/>
      <name val="Calibri"/>
      <charset val="134"/>
      <scheme val="minor"/>
    </font>
    <font>
      <sz val="11"/>
      <color rgb="FF000000"/>
      <name val="Calibri"/>
      <charset val="1"/>
    </font>
    <font>
      <b/>
      <sz val="18"/>
      <color theme="1"/>
      <name val="Times New Roman"/>
      <charset val="204"/>
    </font>
    <font>
      <sz val="18"/>
      <color theme="1"/>
      <name val="Times New Roman"/>
      <charset val="204"/>
    </font>
    <font>
      <sz val="18"/>
      <color rgb="FF000000"/>
      <name val="Times New Roman"/>
      <charset val="204"/>
    </font>
    <font>
      <sz val="12"/>
      <color theme="1"/>
      <name val="Times New Roman"/>
      <charset val="204"/>
    </font>
    <font>
      <sz val="18"/>
      <color rgb="FFFF0000"/>
      <name val="Calibri"/>
      <charset val="134"/>
      <scheme val="minor"/>
    </font>
    <font>
      <b/>
      <sz val="18"/>
      <color rgb="FF000000"/>
      <name val="Times New Roman"/>
      <charset val="204"/>
    </font>
    <font>
      <b/>
      <sz val="14"/>
      <color rgb="FF000000"/>
      <name val="Times New Roman"/>
      <charset val="204"/>
    </font>
    <font>
      <sz val="14"/>
      <color rgb="FF000000"/>
      <name val="Times New Roman"/>
      <charset val="204"/>
    </font>
    <font>
      <b/>
      <sz val="14"/>
      <name val="Times New Roman"/>
      <charset val="204"/>
    </font>
    <font>
      <sz val="14"/>
      <color rgb="FF000000"/>
      <name val="Calibri"/>
      <charset val="204"/>
    </font>
    <font>
      <sz val="14"/>
      <color rgb="FF000000"/>
      <name val="Times New Roman"/>
      <charset val="134"/>
    </font>
    <font>
      <b/>
      <sz val="20"/>
      <color rgb="FFFF0000"/>
      <name val="Times New Roman"/>
      <charset val="204"/>
    </font>
    <font>
      <b/>
      <sz val="16"/>
      <color rgb="FFFF0000"/>
      <name val="Times New Roman"/>
      <charset val="204"/>
    </font>
    <font>
      <sz val="11"/>
      <color rgb="FF000000"/>
      <name val="Times New Roman"/>
      <charset val="204"/>
    </font>
    <font>
      <b/>
      <sz val="18"/>
      <color theme="0"/>
      <name val="Times New Roman"/>
      <charset val="204"/>
    </font>
    <font>
      <b/>
      <sz val="22"/>
      <color rgb="FF000000"/>
      <name val="Times New Roman"/>
      <charset val="204"/>
    </font>
    <font>
      <sz val="12"/>
      <color rgb="FF000000"/>
      <name val="Calibri"/>
      <charset val="204"/>
    </font>
    <font>
      <b/>
      <sz val="16"/>
      <color rgb="FF000000"/>
      <name val="Times New Roman"/>
      <charset val="1"/>
    </font>
    <font>
      <sz val="12"/>
      <name val="Times New Roman"/>
      <charset val="204"/>
    </font>
    <font>
      <sz val="14"/>
      <name val="Times New Roman"/>
      <charset val="204"/>
    </font>
    <font>
      <sz val="14"/>
      <color rgb="FFFF0000"/>
      <name val="Times New Roman"/>
      <charset val="204"/>
    </font>
    <font>
      <i/>
      <u/>
      <sz val="14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rgb="FFCCCC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CCCCFF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098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0" fillId="18" borderId="59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60">
      <alignment vertical="center"/>
    </xf>
    <xf numFmtId="0" fontId="41" fillId="0" borderId="60">
      <alignment vertical="center"/>
    </xf>
    <xf numFmtId="0" fontId="42" fillId="0" borderId="61">
      <alignment vertical="center"/>
    </xf>
    <xf numFmtId="0" fontId="42" fillId="0" borderId="0">
      <alignment vertical="center"/>
    </xf>
    <xf numFmtId="0" fontId="43" fillId="19" borderId="62">
      <alignment vertical="center"/>
    </xf>
    <xf numFmtId="0" fontId="44" fillId="20" borderId="63">
      <alignment vertical="center"/>
    </xf>
    <xf numFmtId="0" fontId="45" fillId="20" borderId="62">
      <alignment vertical="center"/>
    </xf>
    <xf numFmtId="0" fontId="46" fillId="21" borderId="64">
      <alignment vertical="center"/>
    </xf>
    <xf numFmtId="0" fontId="47" fillId="0" borderId="65">
      <alignment vertical="center"/>
    </xf>
    <xf numFmtId="0" fontId="48" fillId="0" borderId="66">
      <alignment vertical="center"/>
    </xf>
    <xf numFmtId="0" fontId="49" fillId="22" borderId="0">
      <alignment vertical="center"/>
    </xf>
    <xf numFmtId="0" fontId="50" fillId="23" borderId="0">
      <alignment vertical="center"/>
    </xf>
    <xf numFmtId="0" fontId="51" fillId="24" borderId="0">
      <alignment vertical="center"/>
    </xf>
    <xf numFmtId="0" fontId="52" fillId="25" borderId="0">
      <alignment vertical="center"/>
    </xf>
    <xf numFmtId="0" fontId="53" fillId="26" borderId="0">
      <alignment vertical="center"/>
    </xf>
    <xf numFmtId="0" fontId="53" fillId="13" borderId="0">
      <alignment vertical="center"/>
    </xf>
    <xf numFmtId="0" fontId="52" fillId="27" borderId="0">
      <alignment vertical="center"/>
    </xf>
    <xf numFmtId="0" fontId="52" fillId="28" borderId="0">
      <alignment vertical="center"/>
    </xf>
    <xf numFmtId="0" fontId="53" fillId="29" borderId="0">
      <alignment vertical="center"/>
    </xf>
    <xf numFmtId="0" fontId="53" fillId="4" borderId="0">
      <alignment vertical="center"/>
    </xf>
    <xf numFmtId="0" fontId="52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3" fillId="33" borderId="0">
      <alignment vertical="center"/>
    </xf>
    <xf numFmtId="0" fontId="52" fillId="34" borderId="0">
      <alignment vertical="center"/>
    </xf>
    <xf numFmtId="0" fontId="52" fillId="35" borderId="0">
      <alignment vertical="center"/>
    </xf>
    <xf numFmtId="0" fontId="53" fillId="5" borderId="0">
      <alignment vertical="center"/>
    </xf>
    <xf numFmtId="0" fontId="53" fillId="8" borderId="0">
      <alignment vertical="center"/>
    </xf>
    <xf numFmtId="0" fontId="52" fillId="36" borderId="0">
      <alignment vertical="center"/>
    </xf>
    <xf numFmtId="0" fontId="52" fillId="37" borderId="0">
      <alignment vertical="center"/>
    </xf>
    <xf numFmtId="0" fontId="53" fillId="38" borderId="0">
      <alignment vertical="center"/>
    </xf>
    <xf numFmtId="0" fontId="53" fillId="39" borderId="0">
      <alignment vertical="center"/>
    </xf>
    <xf numFmtId="0" fontId="52" fillId="40" borderId="0">
      <alignment vertical="center"/>
    </xf>
    <xf numFmtId="0" fontId="52" fillId="41" borderId="0">
      <alignment vertical="center"/>
    </xf>
    <xf numFmtId="0" fontId="53" fillId="17" borderId="0">
      <alignment vertical="center"/>
    </xf>
    <xf numFmtId="0" fontId="53" fillId="9" borderId="0">
      <alignment vertical="center"/>
    </xf>
    <xf numFmtId="0" fontId="52" fillId="42" borderId="0">
      <alignment vertical="center"/>
    </xf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58">
    <xf numFmtId="0" fontId="0" fillId="0" borderId="0" xfId="0"/>
    <xf numFmtId="0" fontId="1" fillId="0" borderId="0" xfId="49" applyFont="1"/>
    <xf numFmtId="0" fontId="1" fillId="0" borderId="1" xfId="49" applyFont="1" applyBorder="1" applyAlignment="1" applyProtection="1">
      <alignment horizontal="center" vertical="center"/>
      <protection locked="0"/>
    </xf>
    <xf numFmtId="180" fontId="1" fillId="0" borderId="1" xfId="0" applyNumberFormat="1" applyFont="1" applyBorder="1" applyAlignment="1" applyProtection="1">
      <alignment horizontal="center" vertical="center"/>
      <protection locked="0"/>
    </xf>
    <xf numFmtId="20" fontId="1" fillId="0" borderId="1" xfId="49" applyNumberFormat="1" applyFont="1" applyBorder="1" applyAlignment="1" applyProtection="1">
      <alignment horizontal="center" vertical="center" wrapText="1"/>
      <protection locked="0"/>
    </xf>
    <xf numFmtId="0" fontId="1" fillId="0" borderId="1" xfId="49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0" xfId="0" applyAlignment="1">
      <alignment horizontal="center"/>
    </xf>
    <xf numFmtId="0" fontId="1" fillId="0" borderId="4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49" applyFont="1" applyBorder="1" applyAlignment="1" applyProtection="1">
      <alignment horizontal="center" vertical="center" wrapText="1"/>
      <protection locked="0"/>
    </xf>
    <xf numFmtId="0" fontId="1" fillId="0" borderId="0" xfId="49" applyFont="1" applyProtection="1">
      <protection locked="0"/>
    </xf>
    <xf numFmtId="0" fontId="1" fillId="0" borderId="1" xfId="49" applyFont="1" applyBorder="1" applyAlignment="1" applyProtection="1">
      <alignment horizontal="center" wrapText="1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0" xfId="0" applyFont="1"/>
    <xf numFmtId="0" fontId="3" fillId="0" borderId="0" xfId="0" applyFont="1"/>
    <xf numFmtId="0" fontId="7" fillId="2" borderId="12" xfId="0" applyFont="1" applyFill="1" applyBorder="1"/>
    <xf numFmtId="0" fontId="6" fillId="3" borderId="12" xfId="0" applyFont="1" applyFill="1" applyBorder="1"/>
    <xf numFmtId="0" fontId="8" fillId="0" borderId="13" xfId="0" applyFont="1" applyBorder="1" applyAlignment="1">
      <alignment horizontal="center"/>
    </xf>
    <xf numFmtId="0" fontId="0" fillId="0" borderId="14" xfId="0" applyBorder="1"/>
    <xf numFmtId="0" fontId="9" fillId="4" borderId="15" xfId="49" applyFont="1" applyFill="1" applyBorder="1" applyAlignment="1" applyProtection="1">
      <alignment horizontal="center" vertical="center" wrapText="1"/>
      <protection locked="0"/>
    </xf>
    <xf numFmtId="0" fontId="9" fillId="4" borderId="1" xfId="49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16" xfId="0" applyBorder="1" applyProtection="1">
      <protection locked="0"/>
    </xf>
    <xf numFmtId="0" fontId="1" fillId="0" borderId="15" xfId="49" applyFont="1" applyBorder="1" applyAlignment="1" applyProtection="1">
      <alignment horizontal="center" vertical="center"/>
      <protection locked="0"/>
    </xf>
    <xf numFmtId="0" fontId="1" fillId="5" borderId="1" xfId="49" applyFont="1" applyFill="1" applyBorder="1" applyAlignment="1" applyProtection="1">
      <alignment horizontal="center" vertical="center" wrapText="1"/>
      <protection locked="0"/>
    </xf>
    <xf numFmtId="0" fontId="0" fillId="0" borderId="17" xfId="0" applyBorder="1"/>
    <xf numFmtId="0" fontId="8" fillId="0" borderId="18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8" fillId="0" borderId="21" xfId="0" applyFont="1" applyBorder="1" applyAlignment="1">
      <alignment horizontal="center"/>
    </xf>
    <xf numFmtId="0" fontId="0" fillId="0" borderId="22" xfId="0" applyBorder="1"/>
    <xf numFmtId="0" fontId="8" fillId="0" borderId="21" xfId="0" applyFont="1" applyBorder="1" applyAlignment="1">
      <alignment horizontal="center" wrapText="1"/>
    </xf>
    <xf numFmtId="0" fontId="0" fillId="0" borderId="23" xfId="0" applyBorder="1"/>
    <xf numFmtId="0" fontId="9" fillId="4" borderId="16" xfId="49" applyFont="1" applyFill="1" applyBorder="1" applyAlignment="1" applyProtection="1">
      <alignment horizontal="center" vertical="center" wrapText="1"/>
      <protection locked="0"/>
    </xf>
    <xf numFmtId="0" fontId="9" fillId="4" borderId="2" xfId="49" applyFont="1" applyFill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1" fillId="0" borderId="24" xfId="49" applyFont="1" applyBorder="1" applyAlignment="1" applyProtection="1">
      <alignment horizontal="center" vertical="center"/>
      <protection locked="0"/>
    </xf>
    <xf numFmtId="180" fontId="1" fillId="0" borderId="24" xfId="0" applyNumberFormat="1" applyFont="1" applyBorder="1" applyAlignment="1" applyProtection="1">
      <alignment horizontal="center" vertical="center"/>
      <protection locked="0"/>
    </xf>
    <xf numFmtId="20" fontId="1" fillId="0" borderId="24" xfId="49" applyNumberFormat="1" applyFont="1" applyBorder="1" applyAlignment="1" applyProtection="1">
      <alignment horizontal="center" vertical="center" wrapText="1"/>
      <protection locked="0"/>
    </xf>
    <xf numFmtId="0" fontId="1" fillId="0" borderId="24" xfId="49" applyFont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9" fillId="4" borderId="25" xfId="49" applyFont="1" applyFill="1" applyBorder="1" applyAlignment="1" applyProtection="1">
      <alignment horizontal="center" vertical="center" wrapText="1"/>
      <protection locked="0"/>
    </xf>
    <xf numFmtId="0" fontId="9" fillId="4" borderId="26" xfId="49" applyFont="1" applyFill="1" applyBorder="1" applyAlignment="1" applyProtection="1">
      <alignment horizontal="center" vertical="center" wrapText="1"/>
      <protection locked="0"/>
    </xf>
    <xf numFmtId="0" fontId="0" fillId="0" borderId="27" xfId="0" applyBorder="1" applyProtection="1">
      <protection locked="0"/>
    </xf>
    <xf numFmtId="0" fontId="1" fillId="0" borderId="28" xfId="49" applyFont="1" applyBorder="1" applyAlignment="1" applyProtection="1">
      <alignment horizontal="center" vertical="center"/>
      <protection locked="0"/>
    </xf>
    <xf numFmtId="0" fontId="1" fillId="0" borderId="29" xfId="49" applyFont="1" applyBorder="1" applyAlignment="1" applyProtection="1">
      <alignment horizontal="center" vertical="center"/>
      <protection locked="0"/>
    </xf>
    <xf numFmtId="180" fontId="1" fillId="0" borderId="30" xfId="0" applyNumberFormat="1" applyFont="1" applyBorder="1" applyAlignment="1" applyProtection="1">
      <alignment horizontal="center" vertical="center"/>
      <protection locked="0"/>
    </xf>
    <xf numFmtId="20" fontId="1" fillId="0" borderId="30" xfId="49" applyNumberFormat="1" applyFont="1" applyBorder="1" applyAlignment="1" applyProtection="1">
      <alignment horizontal="center" vertical="center" wrapText="1"/>
      <protection locked="0"/>
    </xf>
    <xf numFmtId="0" fontId="1" fillId="0" borderId="30" xfId="49" applyFont="1" applyBorder="1" applyAlignment="1" applyProtection="1">
      <alignment horizontal="center" vertical="center" wrapText="1"/>
      <protection locked="0"/>
    </xf>
    <xf numFmtId="0" fontId="0" fillId="0" borderId="31" xfId="0" applyBorder="1"/>
    <xf numFmtId="0" fontId="9" fillId="4" borderId="32" xfId="49" applyFont="1" applyFill="1" applyBorder="1" applyAlignment="1" applyProtection="1">
      <alignment horizontal="center" vertical="center" wrapText="1"/>
      <protection locked="0"/>
    </xf>
    <xf numFmtId="0" fontId="0" fillId="0" borderId="33" xfId="0" applyBorder="1" applyProtection="1">
      <protection locked="0"/>
    </xf>
    <xf numFmtId="0" fontId="1" fillId="5" borderId="1" xfId="49" applyFont="1" applyFill="1" applyBorder="1" applyAlignment="1" applyProtection="1">
      <alignment horizontal="center" vertical="center"/>
      <protection locked="0"/>
    </xf>
    <xf numFmtId="0" fontId="1" fillId="0" borderId="32" xfId="49" applyFont="1" applyBorder="1" applyAlignment="1" applyProtection="1">
      <alignment horizontal="center" vertical="center" wrapText="1"/>
      <protection locked="0"/>
    </xf>
    <xf numFmtId="0" fontId="8" fillId="6" borderId="0" xfId="0" applyFont="1" applyFill="1"/>
    <xf numFmtId="0" fontId="0" fillId="6" borderId="34" xfId="0" applyFill="1" applyBorder="1"/>
    <xf numFmtId="0" fontId="0" fillId="0" borderId="34" xfId="0" applyBorder="1"/>
    <xf numFmtId="0" fontId="8" fillId="6" borderId="20" xfId="0" applyFont="1" applyFill="1" applyBorder="1"/>
    <xf numFmtId="0" fontId="0" fillId="6" borderId="35" xfId="0" applyFill="1" applyBorder="1"/>
    <xf numFmtId="0" fontId="0" fillId="0" borderId="36" xfId="0" applyBorder="1"/>
    <xf numFmtId="0" fontId="0" fillId="0" borderId="37" xfId="0" applyBorder="1"/>
    <xf numFmtId="0" fontId="0" fillId="0" borderId="35" xfId="0" applyBorder="1"/>
    <xf numFmtId="0" fontId="9" fillId="4" borderId="33" xfId="49" applyFont="1" applyFill="1" applyBorder="1" applyAlignment="1" applyProtection="1">
      <alignment horizontal="center" vertical="center" wrapText="1"/>
      <protection locked="0"/>
    </xf>
    <xf numFmtId="0" fontId="1" fillId="7" borderId="1" xfId="49" applyFont="1" applyFill="1" applyBorder="1" applyAlignment="1" applyProtection="1">
      <alignment horizontal="center" vertical="center" wrapText="1"/>
      <protection locked="0"/>
    </xf>
    <xf numFmtId="0" fontId="1" fillId="7" borderId="1" xfId="49" applyFont="1" applyFill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7" borderId="24" xfId="49" applyFont="1" applyFill="1" applyBorder="1" applyAlignment="1" applyProtection="1">
      <alignment horizontal="center" vertical="center" wrapText="1"/>
      <protection locked="0"/>
    </xf>
    <xf numFmtId="0" fontId="1" fillId="7" borderId="24" xfId="49" applyFont="1" applyFill="1" applyBorder="1" applyAlignment="1" applyProtection="1">
      <alignment horizontal="center" vertical="center"/>
      <protection locked="0"/>
    </xf>
    <xf numFmtId="0" fontId="9" fillId="4" borderId="38" xfId="49" applyFont="1" applyFill="1" applyBorder="1" applyAlignment="1" applyProtection="1">
      <alignment horizontal="center" vertical="center" wrapText="1"/>
      <protection locked="0"/>
    </xf>
    <xf numFmtId="0" fontId="1" fillId="0" borderId="39" xfId="49" applyFont="1" applyBorder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0" borderId="30" xfId="49" applyFont="1" applyBorder="1" applyAlignment="1" applyProtection="1">
      <alignment horizontal="center" vertical="center"/>
      <protection locked="0"/>
    </xf>
    <xf numFmtId="0" fontId="1" fillId="0" borderId="40" xfId="49" applyFont="1" applyBorder="1" applyAlignment="1" applyProtection="1">
      <alignment horizontal="center" vertical="center" wrapText="1"/>
      <protection locked="0"/>
    </xf>
    <xf numFmtId="0" fontId="12" fillId="0" borderId="0" xfId="49"/>
    <xf numFmtId="0" fontId="13" fillId="8" borderId="41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9" borderId="42" xfId="0" applyFont="1" applyFill="1" applyBorder="1" applyAlignment="1">
      <alignment vertical="center" wrapText="1"/>
    </xf>
    <xf numFmtId="0" fontId="14" fillId="0" borderId="43" xfId="0" applyFont="1" applyBorder="1" applyAlignment="1">
      <alignment horizontal="center" vertical="center" wrapText="1"/>
    </xf>
    <xf numFmtId="0" fontId="15" fillId="9" borderId="42" xfId="49" applyFont="1" applyFill="1" applyBorder="1"/>
    <xf numFmtId="0" fontId="15" fillId="0" borderId="43" xfId="49" applyFont="1" applyBorder="1" applyAlignment="1">
      <alignment horizontal="center"/>
    </xf>
    <xf numFmtId="0" fontId="14" fillId="9" borderId="42" xfId="0" applyFont="1" applyFill="1" applyBorder="1" applyAlignment="1">
      <alignment horizontal="left" vertical="center" wrapText="1"/>
    </xf>
    <xf numFmtId="0" fontId="14" fillId="0" borderId="42" xfId="0" applyFont="1" applyBorder="1" applyAlignment="1">
      <alignment horizontal="center" vertical="center" wrapText="1"/>
    </xf>
    <xf numFmtId="0" fontId="0" fillId="0" borderId="44" xfId="0" applyBorder="1"/>
    <xf numFmtId="0" fontId="14" fillId="9" borderId="45" xfId="0" applyFont="1" applyFill="1" applyBorder="1" applyAlignment="1">
      <alignment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/>
    </xf>
    <xf numFmtId="0" fontId="0" fillId="0" borderId="10" xfId="0" applyBorder="1"/>
    <xf numFmtId="0" fontId="16" fillId="5" borderId="1" xfId="0" applyFont="1" applyFill="1" applyBorder="1" applyAlignment="1">
      <alignment horizontal="center"/>
    </xf>
    <xf numFmtId="181" fontId="16" fillId="0" borderId="1" xfId="0" applyNumberFormat="1" applyFont="1" applyBorder="1"/>
    <xf numFmtId="0" fontId="16" fillId="10" borderId="1" xfId="50" applyFont="1" applyFill="1" applyBorder="1"/>
    <xf numFmtId="0" fontId="16" fillId="0" borderId="1" xfId="52" applyFont="1" applyBorder="1" applyAlignment="1">
      <alignment horizontal="center" vertical="center"/>
    </xf>
    <xf numFmtId="0" fontId="16" fillId="0" borderId="1" xfId="50" applyFont="1" applyBorder="1" applyAlignment="1" applyProtection="1">
      <alignment horizontal="center" vertical="center"/>
      <protection locked="0"/>
    </xf>
    <xf numFmtId="0" fontId="16" fillId="11" borderId="3" xfId="0" applyFont="1" applyFill="1" applyBorder="1"/>
    <xf numFmtId="0" fontId="16" fillId="0" borderId="0" xfId="0" applyFont="1"/>
    <xf numFmtId="0" fontId="16" fillId="5" borderId="1" xfId="0" applyFont="1" applyFill="1" applyBorder="1" applyAlignment="1">
      <alignment horizontal="center" wrapText="1"/>
    </xf>
    <xf numFmtId="0" fontId="16" fillId="0" borderId="1" xfId="1074" applyFont="1" applyBorder="1" applyAlignment="1" applyProtection="1">
      <alignment horizontal="center" vertical="center"/>
      <protection locked="0"/>
    </xf>
    <xf numFmtId="0" fontId="16" fillId="0" borderId="1" xfId="1076" applyFont="1" applyBorder="1" applyAlignment="1">
      <alignment horizontal="center" vertical="center"/>
    </xf>
    <xf numFmtId="0" fontId="16" fillId="11" borderId="0" xfId="0" applyFont="1" applyFill="1"/>
    <xf numFmtId="10" fontId="16" fillId="0" borderId="0" xfId="0" applyNumberFormat="1" applyFont="1"/>
    <xf numFmtId="0" fontId="16" fillId="12" borderId="0" xfId="0" applyFont="1" applyFill="1"/>
    <xf numFmtId="0" fontId="16" fillId="0" borderId="0" xfId="0" applyFont="1" applyAlignment="1">
      <alignment wrapText="1"/>
    </xf>
    <xf numFmtId="10" fontId="16" fillId="6" borderId="0" xfId="0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7" xfId="0" applyBorder="1"/>
    <xf numFmtId="0" fontId="0" fillId="0" borderId="1" xfId="0" applyBorder="1"/>
    <xf numFmtId="10" fontId="0" fillId="0" borderId="1" xfId="0" applyNumberFormat="1" applyBorder="1"/>
    <xf numFmtId="182" fontId="9" fillId="12" borderId="1" xfId="49" applyNumberFormat="1" applyFont="1" applyFill="1" applyBorder="1" applyAlignment="1">
      <alignment horizontal="center" vertical="center"/>
    </xf>
    <xf numFmtId="182" fontId="9" fillId="0" borderId="1" xfId="49" applyNumberFormat="1" applyFont="1" applyBorder="1" applyAlignment="1" applyProtection="1">
      <alignment horizontal="center" vertical="center"/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6" fillId="0" borderId="4" xfId="52" applyFont="1" applyBorder="1" applyAlignment="1">
      <alignment horizontal="center" vertical="center"/>
    </xf>
    <xf numFmtId="0" fontId="16" fillId="0" borderId="1" xfId="50" applyFont="1" applyBorder="1" applyAlignment="1">
      <alignment horizontal="center" vertical="center"/>
    </xf>
    <xf numFmtId="0" fontId="16" fillId="0" borderId="1" xfId="1074" applyFont="1" applyBorder="1" applyAlignment="1">
      <alignment horizontal="center" vertical="center"/>
    </xf>
    <xf numFmtId="0" fontId="16" fillId="0" borderId="1" xfId="1076" applyFont="1" applyBorder="1"/>
    <xf numFmtId="0" fontId="16" fillId="0" borderId="1" xfId="0" applyFont="1" applyBorder="1"/>
    <xf numFmtId="182" fontId="4" fillId="0" borderId="0" xfId="0" applyNumberFormat="1" applyFont="1" applyAlignment="1" applyProtection="1">
      <alignment horizontal="right" vertical="center"/>
      <protection hidden="1"/>
    </xf>
    <xf numFmtId="0" fontId="16" fillId="0" borderId="3" xfId="0" applyFont="1" applyBorder="1"/>
    <xf numFmtId="0" fontId="0" fillId="0" borderId="9" xfId="0" applyBorder="1"/>
    <xf numFmtId="0" fontId="0" fillId="0" borderId="11" xfId="0" applyBorder="1"/>
    <xf numFmtId="0" fontId="12" fillId="0" borderId="0" xfId="49" applyProtection="1">
      <protection locked="0"/>
    </xf>
    <xf numFmtId="0" fontId="18" fillId="13" borderId="21" xfId="49" applyFont="1" applyFill="1" applyBorder="1" applyAlignment="1">
      <alignment horizontal="center" vertical="center" wrapText="1"/>
    </xf>
    <xf numFmtId="0" fontId="18" fillId="14" borderId="21" xfId="49" applyFont="1" applyFill="1" applyBorder="1" applyAlignment="1">
      <alignment horizontal="center" vertical="center"/>
    </xf>
    <xf numFmtId="10" fontId="18" fillId="14" borderId="21" xfId="49" applyNumberFormat="1" applyFont="1" applyFill="1" applyBorder="1" applyAlignment="1">
      <alignment horizontal="center" vertical="center"/>
    </xf>
    <xf numFmtId="0" fontId="19" fillId="0" borderId="0" xfId="49" applyFont="1" applyAlignment="1" applyProtection="1">
      <alignment vertical="center"/>
      <protection locked="0"/>
    </xf>
    <xf numFmtId="0" fontId="18" fillId="14" borderId="47" xfId="49" applyFont="1" applyFill="1" applyBorder="1" applyAlignment="1">
      <alignment horizontal="center" vertical="center"/>
    </xf>
    <xf numFmtId="0" fontId="0" fillId="0" borderId="48" xfId="0" applyBorder="1"/>
    <xf numFmtId="183" fontId="18" fillId="14" borderId="21" xfId="49" applyNumberFormat="1" applyFont="1" applyFill="1" applyBorder="1" applyAlignment="1">
      <alignment horizontal="center" vertical="center"/>
    </xf>
    <xf numFmtId="0" fontId="20" fillId="0" borderId="0" xfId="49" applyFont="1" applyProtection="1">
      <protection locked="0"/>
    </xf>
    <xf numFmtId="0" fontId="19" fillId="0" borderId="0" xfId="49" applyFont="1" applyAlignment="1">
      <alignment horizontal="left" vertical="center" wrapText="1"/>
    </xf>
    <xf numFmtId="0" fontId="19" fillId="0" borderId="0" xfId="49" applyFont="1" applyAlignment="1">
      <alignment horizontal="center" vertical="center" wrapText="1"/>
    </xf>
    <xf numFmtId="0" fontId="21" fillId="0" borderId="0" xfId="49" applyFont="1"/>
    <xf numFmtId="0" fontId="21" fillId="0" borderId="0" xfId="49" applyFont="1" applyProtection="1">
      <protection locked="0"/>
    </xf>
    <xf numFmtId="0" fontId="21" fillId="0" borderId="0" xfId="49" applyFont="1" applyAlignment="1">
      <alignment horizontal="left"/>
    </xf>
    <xf numFmtId="0" fontId="21" fillId="0" borderId="0" xfId="49" applyFont="1" applyAlignment="1">
      <alignment horizontal="right"/>
    </xf>
    <xf numFmtId="0" fontId="20" fillId="0" borderId="49" xfId="49" applyFont="1" applyBorder="1" applyAlignment="1">
      <alignment horizontal="center" vertical="center"/>
    </xf>
    <xf numFmtId="182" fontId="20" fillId="0" borderId="13" xfId="49" applyNumberFormat="1" applyFont="1" applyBorder="1" applyAlignment="1">
      <alignment horizontal="center" vertical="center"/>
    </xf>
    <xf numFmtId="182" fontId="20" fillId="12" borderId="31" xfId="49" applyNumberFormat="1" applyFont="1" applyFill="1" applyBorder="1" applyAlignment="1">
      <alignment horizontal="center" vertical="center"/>
    </xf>
    <xf numFmtId="0" fontId="20" fillId="0" borderId="0" xfId="49" applyFont="1" applyAlignment="1" applyProtection="1">
      <alignment horizontal="center" vertical="center"/>
      <protection locked="0"/>
    </xf>
    <xf numFmtId="0" fontId="20" fillId="0" borderId="50" xfId="49" applyFont="1" applyBorder="1" applyAlignment="1">
      <alignment horizontal="center" vertical="center"/>
    </xf>
    <xf numFmtId="0" fontId="20" fillId="0" borderId="0" xfId="49" applyFont="1" applyAlignment="1" applyProtection="1">
      <alignment vertical="center"/>
      <protection locked="0"/>
    </xf>
    <xf numFmtId="0" fontId="20" fillId="0" borderId="50" xfId="49" applyFont="1" applyBorder="1" applyAlignment="1">
      <alignment horizontal="center" vertical="center" wrapText="1"/>
    </xf>
    <xf numFmtId="182" fontId="20" fillId="12" borderId="21" xfId="49" applyNumberFormat="1" applyFont="1" applyFill="1" applyBorder="1" applyAlignment="1">
      <alignment horizontal="center" vertical="center"/>
    </xf>
    <xf numFmtId="0" fontId="20" fillId="0" borderId="50" xfId="49" applyFont="1" applyBorder="1" applyAlignment="1">
      <alignment horizontal="center"/>
    </xf>
    <xf numFmtId="0" fontId="22" fillId="0" borderId="0" xfId="49" applyFont="1" applyAlignment="1" applyProtection="1">
      <alignment vertical="center"/>
      <protection locked="0"/>
    </xf>
    <xf numFmtId="0" fontId="12" fillId="0" borderId="0" xfId="49" applyAlignment="1" applyProtection="1">
      <alignment vertical="center"/>
      <protection locked="0"/>
    </xf>
    <xf numFmtId="0" fontId="19" fillId="0" borderId="34" xfId="49" applyFont="1" applyBorder="1" applyAlignment="1" applyProtection="1">
      <alignment horizontal="left" vertical="center" wrapText="1"/>
      <protection locked="0"/>
    </xf>
    <xf numFmtId="0" fontId="0" fillId="0" borderId="34" xfId="0" applyBorder="1" applyProtection="1">
      <protection locked="0"/>
    </xf>
    <xf numFmtId="0" fontId="19" fillId="0" borderId="34" xfId="49" applyFont="1" applyBorder="1" applyAlignment="1" applyProtection="1">
      <alignment horizontal="left"/>
      <protection locked="0"/>
    </xf>
    <xf numFmtId="182" fontId="20" fillId="0" borderId="21" xfId="49" applyNumberFormat="1" applyFont="1" applyBorder="1" applyAlignment="1">
      <alignment horizontal="center" vertical="center"/>
    </xf>
    <xf numFmtId="182" fontId="20" fillId="0" borderId="21" xfId="49" applyNumberFormat="1" applyFont="1" applyBorder="1" applyAlignment="1">
      <alignment horizontal="center"/>
    </xf>
    <xf numFmtId="0" fontId="20" fillId="0" borderId="51" xfId="49" applyFont="1" applyBorder="1" applyAlignment="1">
      <alignment horizontal="center" vertical="center"/>
    </xf>
    <xf numFmtId="0" fontId="20" fillId="0" borderId="52" xfId="49" applyFont="1" applyBorder="1" applyAlignment="1">
      <alignment horizontal="center"/>
    </xf>
    <xf numFmtId="0" fontId="23" fillId="0" borderId="0" xfId="49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82" fontId="20" fillId="0" borderId="41" xfId="49" applyNumberFormat="1" applyFont="1" applyBorder="1" applyAlignment="1">
      <alignment horizontal="center"/>
    </xf>
    <xf numFmtId="0" fontId="20" fillId="0" borderId="0" xfId="49" applyFont="1" applyAlignment="1">
      <alignment horizontal="center" vertical="center"/>
    </xf>
    <xf numFmtId="0" fontId="15" fillId="15" borderId="20" xfId="49" applyFont="1" applyFill="1" applyBorder="1" applyAlignment="1">
      <alignment horizontal="center"/>
    </xf>
    <xf numFmtId="184" fontId="19" fillId="16" borderId="17" xfId="49" applyNumberFormat="1" applyFont="1" applyFill="1" applyBorder="1" applyAlignment="1" applyProtection="1">
      <alignment vertical="center"/>
      <protection locked="0"/>
    </xf>
    <xf numFmtId="184" fontId="19" fillId="16" borderId="0" xfId="49" applyNumberFormat="1" applyFont="1" applyFill="1" applyAlignment="1" applyProtection="1">
      <alignment vertical="center"/>
      <protection locked="0"/>
    </xf>
    <xf numFmtId="0" fontId="24" fillId="0" borderId="21" xfId="49" applyFont="1" applyBorder="1" applyAlignment="1">
      <alignment horizontal="center" vertical="center"/>
    </xf>
    <xf numFmtId="0" fontId="22" fillId="0" borderId="0" xfId="49" applyFont="1" applyProtection="1">
      <protection locked="0"/>
    </xf>
    <xf numFmtId="0" fontId="25" fillId="9" borderId="41" xfId="49" applyFont="1" applyFill="1" applyBorder="1" applyAlignment="1" applyProtection="1">
      <alignment horizontal="center" vertical="center" wrapText="1"/>
      <protection locked="0"/>
    </xf>
    <xf numFmtId="0" fontId="0" fillId="0" borderId="37" xfId="0" applyBorder="1" applyProtection="1">
      <protection locked="0"/>
    </xf>
    <xf numFmtId="0" fontId="19" fillId="0" borderId="0" xfId="49" applyFont="1" applyAlignment="1" applyProtection="1">
      <alignment vertical="center" wrapText="1"/>
      <protection locked="0"/>
    </xf>
    <xf numFmtId="0" fontId="0" fillId="0" borderId="17" xfId="0" applyBorder="1" applyProtection="1">
      <protection locked="0"/>
    </xf>
    <xf numFmtId="185" fontId="19" fillId="0" borderId="0" xfId="49" applyNumberFormat="1" applyFont="1" applyAlignment="1">
      <alignment horizontal="left"/>
    </xf>
    <xf numFmtId="0" fontId="20" fillId="0" borderId="49" xfId="49" applyFont="1" applyBorder="1" applyAlignment="1" applyProtection="1">
      <alignment horizontal="center" vertical="center"/>
      <protection locked="0"/>
    </xf>
    <xf numFmtId="182" fontId="20" fillId="0" borderId="13" xfId="49" applyNumberFormat="1" applyFont="1" applyBorder="1" applyAlignment="1" applyProtection="1">
      <alignment horizontal="center" vertical="center"/>
      <protection locked="0"/>
    </xf>
    <xf numFmtId="0" fontId="26" fillId="0" borderId="0" xfId="49" applyFont="1" applyAlignment="1" applyProtection="1">
      <alignment horizontal="center" vertical="center"/>
      <protection locked="0"/>
    </xf>
    <xf numFmtId="0" fontId="20" fillId="0" borderId="21" xfId="49" applyFont="1" applyBorder="1" applyAlignment="1" applyProtection="1">
      <alignment horizontal="center" vertical="center"/>
      <protection locked="0"/>
    </xf>
    <xf numFmtId="182" fontId="20" fillId="0" borderId="21" xfId="49" applyNumberFormat="1" applyFont="1" applyBorder="1" applyAlignment="1" applyProtection="1">
      <alignment horizontal="center" vertical="center"/>
      <protection locked="0"/>
    </xf>
    <xf numFmtId="0" fontId="24" fillId="0" borderId="0" xfId="49" applyFont="1" applyAlignment="1">
      <alignment vertical="center"/>
    </xf>
    <xf numFmtId="0" fontId="27" fillId="15" borderId="25" xfId="49" applyFont="1" applyFill="1" applyBorder="1" applyAlignment="1">
      <alignment horizontal="center" wrapText="1"/>
    </xf>
    <xf numFmtId="0" fontId="0" fillId="0" borderId="53" xfId="0" applyBorder="1"/>
    <xf numFmtId="0" fontId="0" fillId="0" borderId="54" xfId="0" applyBorder="1"/>
    <xf numFmtId="0" fontId="28" fillId="8" borderId="1" xfId="49" applyFont="1" applyFill="1" applyBorder="1" applyAlignment="1">
      <alignment horizontal="left" vertical="center" wrapText="1"/>
    </xf>
    <xf numFmtId="0" fontId="29" fillId="0" borderId="0" xfId="49" applyFont="1" applyProtection="1">
      <protection locked="0"/>
    </xf>
    <xf numFmtId="186" fontId="12" fillId="0" borderId="0" xfId="49" applyNumberFormat="1" applyProtection="1">
      <protection locked="0"/>
    </xf>
    <xf numFmtId="0" fontId="30" fillId="12" borderId="0" xfId="49" applyFont="1" applyFill="1" applyAlignment="1">
      <alignment horizontal="center" vertical="center" wrapText="1"/>
    </xf>
    <xf numFmtId="0" fontId="31" fillId="17" borderId="1" xfId="49" applyFont="1" applyFill="1" applyBorder="1" applyAlignment="1">
      <alignment horizontal="center" vertical="center" wrapText="1"/>
    </xf>
    <xf numFmtId="20" fontId="31" fillId="17" borderId="1" xfId="49" applyNumberFormat="1" applyFont="1" applyFill="1" applyBorder="1" applyAlignment="1">
      <alignment horizontal="center" vertical="center" wrapText="1"/>
    </xf>
    <xf numFmtId="0" fontId="31" fillId="0" borderId="1" xfId="49" applyFont="1" applyBorder="1" applyAlignment="1">
      <alignment horizontal="center" vertical="center" wrapText="1"/>
    </xf>
    <xf numFmtId="186" fontId="31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49" applyFont="1" applyBorder="1" applyAlignment="1" applyProtection="1">
      <alignment horizontal="center" vertical="center" wrapText="1"/>
      <protection locked="0"/>
    </xf>
    <xf numFmtId="0" fontId="9" fillId="0" borderId="1" xfId="49" applyFont="1" applyBorder="1" applyAlignment="1" applyProtection="1">
      <alignment horizontal="center" vertical="center"/>
      <protection locked="0"/>
    </xf>
    <xf numFmtId="0" fontId="9" fillId="4" borderId="24" xfId="49" applyFont="1" applyFill="1" applyBorder="1" applyAlignment="1" applyProtection="1">
      <alignment horizontal="center" vertical="center" wrapText="1"/>
      <protection locked="0"/>
    </xf>
    <xf numFmtId="0" fontId="31" fillId="17" borderId="1" xfId="49" applyFont="1" applyFill="1" applyBorder="1" applyAlignment="1" applyProtection="1">
      <alignment horizontal="center" vertical="center" wrapText="1"/>
      <protection locked="0"/>
    </xf>
    <xf numFmtId="0" fontId="31" fillId="17" borderId="1" xfId="49" applyFont="1" applyFill="1" applyBorder="1" applyAlignment="1">
      <alignment horizontal="center" vertical="center"/>
    </xf>
    <xf numFmtId="0" fontId="31" fillId="0" borderId="1" xfId="49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horizontal="center" vertical="center" wrapText="1"/>
      <protection locked="0"/>
    </xf>
    <xf numFmtId="187" fontId="0" fillId="0" borderId="0" xfId="0" applyNumberFormat="1"/>
    <xf numFmtId="35" fontId="0" fillId="0" borderId="0" xfId="0" applyNumberFormat="1"/>
    <xf numFmtId="0" fontId="4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right" vertical="center"/>
      <protection locked="0"/>
    </xf>
    <xf numFmtId="49" fontId="33" fillId="0" borderId="0" xfId="0" applyNumberFormat="1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vertical="center"/>
      <protection locked="0"/>
    </xf>
    <xf numFmtId="0" fontId="3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4" fillId="0" borderId="55" xfId="0" applyFont="1" applyBorder="1"/>
    <xf numFmtId="0" fontId="34" fillId="9" borderId="26" xfId="0" applyFont="1" applyFill="1" applyBorder="1" applyAlignment="1">
      <alignment horizontal="center"/>
    </xf>
    <xf numFmtId="0" fontId="0" fillId="0" borderId="27" xfId="0" applyBorder="1"/>
    <xf numFmtId="0" fontId="4" fillId="0" borderId="15" xfId="0" applyFont="1" applyBorder="1" applyAlignment="1">
      <alignment horizontal="right" vertical="center"/>
    </xf>
    <xf numFmtId="0" fontId="0" fillId="0" borderId="56" xfId="0" applyBorder="1"/>
    <xf numFmtId="0" fontId="0" fillId="0" borderId="4" xfId="0" applyBorder="1"/>
    <xf numFmtId="182" fontId="4" fillId="0" borderId="1" xfId="0" applyNumberFormat="1" applyFont="1" applyBorder="1" applyAlignment="1">
      <alignment horizontal="center" vertical="center"/>
    </xf>
    <xf numFmtId="182" fontId="4" fillId="0" borderId="1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0" fillId="0" borderId="57" xfId="0" applyBorder="1"/>
    <xf numFmtId="0" fontId="0" fillId="0" borderId="58" xfId="0" applyBorder="1"/>
    <xf numFmtId="0" fontId="4" fillId="0" borderId="0" xfId="0" applyFont="1" applyProtection="1">
      <protection hidden="1"/>
    </xf>
    <xf numFmtId="0" fontId="4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left"/>
      <protection hidden="1"/>
    </xf>
    <xf numFmtId="0" fontId="34" fillId="9" borderId="0" xfId="0" applyFont="1" applyFill="1" applyAlignment="1" applyProtection="1">
      <alignment horizontal="center"/>
      <protection hidden="1"/>
    </xf>
    <xf numFmtId="0" fontId="34" fillId="0" borderId="0" xfId="0" applyFont="1" applyProtection="1">
      <protection hidden="1"/>
    </xf>
    <xf numFmtId="0" fontId="4" fillId="9" borderId="0" xfId="0" applyFont="1" applyFill="1" applyAlignment="1" applyProtection="1">
      <alignment horizont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182" fontId="4" fillId="0" borderId="0" xfId="0" applyNumberFormat="1" applyFont="1" applyAlignment="1" applyProtection="1">
      <alignment horizontal="center" vertical="center"/>
      <protection hidden="1"/>
    </xf>
    <xf numFmtId="0" fontId="4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4" fillId="9" borderId="13" xfId="0" applyFont="1" applyFill="1" applyBorder="1"/>
    <xf numFmtId="182" fontId="4" fillId="4" borderId="42" xfId="0" applyNumberFormat="1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12" borderId="0" xfId="0" applyFont="1" applyFill="1" applyProtection="1">
      <protection hidden="1"/>
    </xf>
    <xf numFmtId="182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3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</cellXfs>
  <cellStyles count="2098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4" xfId="50"/>
    <cellStyle name="Обычный 4 10" xfId="51"/>
    <cellStyle name="Обычный 4 10 2" xfId="52"/>
    <cellStyle name="Обычный 4 11" xfId="53"/>
    <cellStyle name="Обычный 4 2" xfId="54"/>
    <cellStyle name="Обычный 4 2 10" xfId="55"/>
    <cellStyle name="Обычный 4 2 2" xfId="56"/>
    <cellStyle name="Обычный 4 2 2 2" xfId="57"/>
    <cellStyle name="Обычный 4 2 2 2 2" xfId="58"/>
    <cellStyle name="Обычный 4 2 2 2 2 2" xfId="59"/>
    <cellStyle name="Обычный 4 2 2 2 2 2 2" xfId="60"/>
    <cellStyle name="Обычный 4 2 2 2 2 2 2 2" xfId="61"/>
    <cellStyle name="Обычный 4 2 2 2 2 2 2 2 2" xfId="62"/>
    <cellStyle name="Обычный 4 2 2 2 2 2 2 2 2 2" xfId="63"/>
    <cellStyle name="Обычный 4 2 2 2 2 2 2 2 2 2 2" xfId="64"/>
    <cellStyle name="Обычный 4 2 2 2 2 2 2 2 2 3" xfId="65"/>
    <cellStyle name="Обычный 4 2 2 2 2 2 2 2 3" xfId="66"/>
    <cellStyle name="Обычный 4 2 2 2 2 2 2 2 3 2" xfId="67"/>
    <cellStyle name="Обычный 4 2 2 2 2 2 2 2 4" xfId="68"/>
    <cellStyle name="Обычный 4 2 2 2 2 2 2 3" xfId="69"/>
    <cellStyle name="Обычный 4 2 2 2 2 2 2 3 2" xfId="70"/>
    <cellStyle name="Обычный 4 2 2 2 2 2 2 3 2 2" xfId="71"/>
    <cellStyle name="Обычный 4 2 2 2 2 2 2 3 3" xfId="72"/>
    <cellStyle name="Обычный 4 2 2 2 2 2 2 4" xfId="73"/>
    <cellStyle name="Обычный 4 2 2 2 2 2 2 4 2" xfId="74"/>
    <cellStyle name="Обычный 4 2 2 2 2 2 2 5" xfId="75"/>
    <cellStyle name="Обычный 4 2 2 2 2 2 3" xfId="76"/>
    <cellStyle name="Обычный 4 2 2 2 2 2 3 2" xfId="77"/>
    <cellStyle name="Обычный 4 2 2 2 2 2 3 2 2" xfId="78"/>
    <cellStyle name="Обычный 4 2 2 2 2 2 3 2 2 2" xfId="79"/>
    <cellStyle name="Обычный 4 2 2 2 2 2 3 2 3" xfId="80"/>
    <cellStyle name="Обычный 4 2 2 2 2 2 3 3" xfId="81"/>
    <cellStyle name="Обычный 4 2 2 2 2 2 3 3 2" xfId="82"/>
    <cellStyle name="Обычный 4 2 2 2 2 2 3 4" xfId="83"/>
    <cellStyle name="Обычный 4 2 2 2 2 2 4" xfId="84"/>
    <cellStyle name="Обычный 4 2 2 2 2 2 4 2" xfId="85"/>
    <cellStyle name="Обычный 4 2 2 2 2 2 4 2 2" xfId="86"/>
    <cellStyle name="Обычный 4 2 2 2 2 2 4 3" xfId="87"/>
    <cellStyle name="Обычный 4 2 2 2 2 2 5" xfId="88"/>
    <cellStyle name="Обычный 4 2 2 2 2 2 5 2" xfId="89"/>
    <cellStyle name="Обычный 4 2 2 2 2 2 6" xfId="90"/>
    <cellStyle name="Обычный 4 2 2 2 2 3" xfId="91"/>
    <cellStyle name="Обычный 4 2 2 2 2 3 2" xfId="92"/>
    <cellStyle name="Обычный 4 2 2 2 2 3 2 2" xfId="93"/>
    <cellStyle name="Обычный 4 2 2 2 2 3 2 2 2" xfId="94"/>
    <cellStyle name="Обычный 4 2 2 2 2 3 2 2 2 2" xfId="95"/>
    <cellStyle name="Обычный 4 2 2 2 2 3 2 2 3" xfId="96"/>
    <cellStyle name="Обычный 4 2 2 2 2 3 2 3" xfId="97"/>
    <cellStyle name="Обычный 4 2 2 2 2 3 2 3 2" xfId="98"/>
    <cellStyle name="Обычный 4 2 2 2 2 3 2 4" xfId="99"/>
    <cellStyle name="Обычный 4 2 2 2 2 3 3" xfId="100"/>
    <cellStyle name="Обычный 4 2 2 2 2 3 3 2" xfId="101"/>
    <cellStyle name="Обычный 4 2 2 2 2 3 3 2 2" xfId="102"/>
    <cellStyle name="Обычный 4 2 2 2 2 3 3 3" xfId="103"/>
    <cellStyle name="Обычный 4 2 2 2 2 3 4" xfId="104"/>
    <cellStyle name="Обычный 4 2 2 2 2 3 4 2" xfId="105"/>
    <cellStyle name="Обычный 4 2 2 2 2 3 5" xfId="106"/>
    <cellStyle name="Обычный 4 2 2 2 2 4" xfId="107"/>
    <cellStyle name="Обычный 4 2 2 2 2 4 2" xfId="108"/>
    <cellStyle name="Обычный 4 2 2 2 2 4 2 2" xfId="109"/>
    <cellStyle name="Обычный 4 2 2 2 2 4 2 2 2" xfId="110"/>
    <cellStyle name="Обычный 4 2 2 2 2 4 2 3" xfId="111"/>
    <cellStyle name="Обычный 4 2 2 2 2 4 3" xfId="112"/>
    <cellStyle name="Обычный 4 2 2 2 2 4 3 2" xfId="113"/>
    <cellStyle name="Обычный 4 2 2 2 2 4 4" xfId="114"/>
    <cellStyle name="Обычный 4 2 2 2 2 5" xfId="115"/>
    <cellStyle name="Обычный 4 2 2 2 2 5 2" xfId="116"/>
    <cellStyle name="Обычный 4 2 2 2 2 5 2 2" xfId="117"/>
    <cellStyle name="Обычный 4 2 2 2 2 5 3" xfId="118"/>
    <cellStyle name="Обычный 4 2 2 2 2 6" xfId="119"/>
    <cellStyle name="Обычный 4 2 2 2 2 6 2" xfId="120"/>
    <cellStyle name="Обычный 4 2 2 2 2 7" xfId="121"/>
    <cellStyle name="Обычный 4 2 2 2 3" xfId="122"/>
    <cellStyle name="Обычный 4 2 2 2 3 2" xfId="123"/>
    <cellStyle name="Обычный 4 2 2 2 3 2 2" xfId="124"/>
    <cellStyle name="Обычный 4 2 2 2 3 2 2 2" xfId="125"/>
    <cellStyle name="Обычный 4 2 2 2 3 2 2 2 2" xfId="126"/>
    <cellStyle name="Обычный 4 2 2 2 3 2 2 2 2 2" xfId="127"/>
    <cellStyle name="Обычный 4 2 2 2 3 2 2 2 3" xfId="128"/>
    <cellStyle name="Обычный 4 2 2 2 3 2 2 3" xfId="129"/>
    <cellStyle name="Обычный 4 2 2 2 3 2 2 3 2" xfId="130"/>
    <cellStyle name="Обычный 4 2 2 2 3 2 2 4" xfId="131"/>
    <cellStyle name="Обычный 4 2 2 2 3 2 3" xfId="132"/>
    <cellStyle name="Обычный 4 2 2 2 3 2 3 2" xfId="133"/>
    <cellStyle name="Обычный 4 2 2 2 3 2 3 2 2" xfId="134"/>
    <cellStyle name="Обычный 4 2 2 2 3 2 3 3" xfId="135"/>
    <cellStyle name="Обычный 4 2 2 2 3 2 4" xfId="136"/>
    <cellStyle name="Обычный 4 2 2 2 3 2 4 2" xfId="137"/>
    <cellStyle name="Обычный 4 2 2 2 3 2 5" xfId="138"/>
    <cellStyle name="Обычный 4 2 2 2 3 3" xfId="139"/>
    <cellStyle name="Обычный 4 2 2 2 3 3 2" xfId="140"/>
    <cellStyle name="Обычный 4 2 2 2 3 3 2 2" xfId="141"/>
    <cellStyle name="Обычный 4 2 2 2 3 3 2 2 2" xfId="142"/>
    <cellStyle name="Обычный 4 2 2 2 3 3 2 3" xfId="143"/>
    <cellStyle name="Обычный 4 2 2 2 3 3 3" xfId="144"/>
    <cellStyle name="Обычный 4 2 2 2 3 3 3 2" xfId="145"/>
    <cellStyle name="Обычный 4 2 2 2 3 3 4" xfId="146"/>
    <cellStyle name="Обычный 4 2 2 2 3 4" xfId="147"/>
    <cellStyle name="Обычный 4 2 2 2 3 4 2" xfId="148"/>
    <cellStyle name="Обычный 4 2 2 2 3 4 2 2" xfId="149"/>
    <cellStyle name="Обычный 4 2 2 2 3 4 3" xfId="150"/>
    <cellStyle name="Обычный 4 2 2 2 3 5" xfId="151"/>
    <cellStyle name="Обычный 4 2 2 2 3 5 2" xfId="152"/>
    <cellStyle name="Обычный 4 2 2 2 3 6" xfId="153"/>
    <cellStyle name="Обычный 4 2 2 2 4" xfId="154"/>
    <cellStyle name="Обычный 4 2 2 2 4 2" xfId="155"/>
    <cellStyle name="Обычный 4 2 2 2 4 2 2" xfId="156"/>
    <cellStyle name="Обычный 4 2 2 2 4 2 2 2" xfId="157"/>
    <cellStyle name="Обычный 4 2 2 2 4 2 2 2 2" xfId="158"/>
    <cellStyle name="Обычный 4 2 2 2 4 2 2 3" xfId="159"/>
    <cellStyle name="Обычный 4 2 2 2 4 2 3" xfId="160"/>
    <cellStyle name="Обычный 4 2 2 2 4 2 3 2" xfId="161"/>
    <cellStyle name="Обычный 4 2 2 2 4 2 4" xfId="162"/>
    <cellStyle name="Обычный 4 2 2 2 4 3" xfId="163"/>
    <cellStyle name="Обычный 4 2 2 2 4 3 2" xfId="164"/>
    <cellStyle name="Обычный 4 2 2 2 4 3 2 2" xfId="165"/>
    <cellStyle name="Обычный 4 2 2 2 4 3 3" xfId="166"/>
    <cellStyle name="Обычный 4 2 2 2 4 4" xfId="167"/>
    <cellStyle name="Обычный 4 2 2 2 4 4 2" xfId="168"/>
    <cellStyle name="Обычный 4 2 2 2 4 5" xfId="169"/>
    <cellStyle name="Обычный 4 2 2 2 5" xfId="170"/>
    <cellStyle name="Обычный 4 2 2 2 5 2" xfId="171"/>
    <cellStyle name="Обычный 4 2 2 2 5 2 2" xfId="172"/>
    <cellStyle name="Обычный 4 2 2 2 5 2 2 2" xfId="173"/>
    <cellStyle name="Обычный 4 2 2 2 5 2 3" xfId="174"/>
    <cellStyle name="Обычный 4 2 2 2 5 3" xfId="175"/>
    <cellStyle name="Обычный 4 2 2 2 5 3 2" xfId="176"/>
    <cellStyle name="Обычный 4 2 2 2 5 4" xfId="177"/>
    <cellStyle name="Обычный 4 2 2 2 6" xfId="178"/>
    <cellStyle name="Обычный 4 2 2 2 6 2" xfId="179"/>
    <cellStyle name="Обычный 4 2 2 2 6 2 2" xfId="180"/>
    <cellStyle name="Обычный 4 2 2 2 6 3" xfId="181"/>
    <cellStyle name="Обычный 4 2 2 2 7" xfId="182"/>
    <cellStyle name="Обычный 4 2 2 2 7 2" xfId="183"/>
    <cellStyle name="Обычный 4 2 2 2 8" xfId="184"/>
    <cellStyle name="Обычный 4 2 2 3" xfId="185"/>
    <cellStyle name="Обычный 4 2 2 3 2" xfId="186"/>
    <cellStyle name="Обычный 4 2 2 3 2 2" xfId="187"/>
    <cellStyle name="Обычный 4 2 2 3 2 2 2" xfId="188"/>
    <cellStyle name="Обычный 4 2 2 3 2 2 2 2" xfId="189"/>
    <cellStyle name="Обычный 4 2 2 3 2 2 2 2 2" xfId="190"/>
    <cellStyle name="Обычный 4 2 2 3 2 2 2 2 2 2" xfId="191"/>
    <cellStyle name="Обычный 4 2 2 3 2 2 2 2 3" xfId="192"/>
    <cellStyle name="Обычный 4 2 2 3 2 2 2 3" xfId="193"/>
    <cellStyle name="Обычный 4 2 2 3 2 2 2 3 2" xfId="194"/>
    <cellStyle name="Обычный 4 2 2 3 2 2 2 4" xfId="195"/>
    <cellStyle name="Обычный 4 2 2 3 2 2 3" xfId="196"/>
    <cellStyle name="Обычный 4 2 2 3 2 2 3 2" xfId="197"/>
    <cellStyle name="Обычный 4 2 2 3 2 2 3 2 2" xfId="198"/>
    <cellStyle name="Обычный 4 2 2 3 2 2 3 3" xfId="199"/>
    <cellStyle name="Обычный 4 2 2 3 2 2 4" xfId="200"/>
    <cellStyle name="Обычный 4 2 2 3 2 2 4 2" xfId="201"/>
    <cellStyle name="Обычный 4 2 2 3 2 2 5" xfId="202"/>
    <cellStyle name="Обычный 4 2 2 3 2 3" xfId="203"/>
    <cellStyle name="Обычный 4 2 2 3 2 3 2" xfId="204"/>
    <cellStyle name="Обычный 4 2 2 3 2 3 2 2" xfId="205"/>
    <cellStyle name="Обычный 4 2 2 3 2 3 2 2 2" xfId="206"/>
    <cellStyle name="Обычный 4 2 2 3 2 3 2 3" xfId="207"/>
    <cellStyle name="Обычный 4 2 2 3 2 3 3" xfId="208"/>
    <cellStyle name="Обычный 4 2 2 3 2 3 3 2" xfId="209"/>
    <cellStyle name="Обычный 4 2 2 3 2 3 4" xfId="210"/>
    <cellStyle name="Обычный 4 2 2 3 2 4" xfId="211"/>
    <cellStyle name="Обычный 4 2 2 3 2 4 2" xfId="212"/>
    <cellStyle name="Обычный 4 2 2 3 2 4 2 2" xfId="213"/>
    <cellStyle name="Обычный 4 2 2 3 2 4 3" xfId="214"/>
    <cellStyle name="Обычный 4 2 2 3 2 5" xfId="215"/>
    <cellStyle name="Обычный 4 2 2 3 2 5 2" xfId="216"/>
    <cellStyle name="Обычный 4 2 2 3 2 6" xfId="217"/>
    <cellStyle name="Обычный 4 2 2 3 3" xfId="218"/>
    <cellStyle name="Обычный 4 2 2 3 3 2" xfId="219"/>
    <cellStyle name="Обычный 4 2 2 3 3 2 2" xfId="220"/>
    <cellStyle name="Обычный 4 2 2 3 3 2 2 2" xfId="221"/>
    <cellStyle name="Обычный 4 2 2 3 3 2 2 2 2" xfId="222"/>
    <cellStyle name="Обычный 4 2 2 3 3 2 2 3" xfId="223"/>
    <cellStyle name="Обычный 4 2 2 3 3 2 3" xfId="224"/>
    <cellStyle name="Обычный 4 2 2 3 3 2 3 2" xfId="225"/>
    <cellStyle name="Обычный 4 2 2 3 3 2 4" xfId="226"/>
    <cellStyle name="Обычный 4 2 2 3 3 3" xfId="227"/>
    <cellStyle name="Обычный 4 2 2 3 3 3 2" xfId="228"/>
    <cellStyle name="Обычный 4 2 2 3 3 3 2 2" xfId="229"/>
    <cellStyle name="Обычный 4 2 2 3 3 3 3" xfId="230"/>
    <cellStyle name="Обычный 4 2 2 3 3 4" xfId="231"/>
    <cellStyle name="Обычный 4 2 2 3 3 4 2" xfId="232"/>
    <cellStyle name="Обычный 4 2 2 3 3 5" xfId="233"/>
    <cellStyle name="Обычный 4 2 2 3 4" xfId="234"/>
    <cellStyle name="Обычный 4 2 2 3 4 2" xfId="235"/>
    <cellStyle name="Обычный 4 2 2 3 4 2 2" xfId="236"/>
    <cellStyle name="Обычный 4 2 2 3 4 2 2 2" xfId="237"/>
    <cellStyle name="Обычный 4 2 2 3 4 2 3" xfId="238"/>
    <cellStyle name="Обычный 4 2 2 3 4 3" xfId="239"/>
    <cellStyle name="Обычный 4 2 2 3 4 3 2" xfId="240"/>
    <cellStyle name="Обычный 4 2 2 3 4 4" xfId="241"/>
    <cellStyle name="Обычный 4 2 2 3 5" xfId="242"/>
    <cellStyle name="Обычный 4 2 2 3 5 2" xfId="243"/>
    <cellStyle name="Обычный 4 2 2 3 5 2 2" xfId="244"/>
    <cellStyle name="Обычный 4 2 2 3 5 3" xfId="245"/>
    <cellStyle name="Обычный 4 2 2 3 6" xfId="246"/>
    <cellStyle name="Обычный 4 2 2 3 6 2" xfId="247"/>
    <cellStyle name="Обычный 4 2 2 3 7" xfId="248"/>
    <cellStyle name="Обычный 4 2 2 4" xfId="249"/>
    <cellStyle name="Обычный 4 2 2 4 2" xfId="250"/>
    <cellStyle name="Обычный 4 2 2 4 2 2" xfId="251"/>
    <cellStyle name="Обычный 4 2 2 4 2 2 2" xfId="252"/>
    <cellStyle name="Обычный 4 2 2 4 2 2 2 2" xfId="253"/>
    <cellStyle name="Обычный 4 2 2 4 2 2 2 2 2" xfId="254"/>
    <cellStyle name="Обычный 4 2 2 4 2 2 2 3" xfId="255"/>
    <cellStyle name="Обычный 4 2 2 4 2 2 3" xfId="256"/>
    <cellStyle name="Обычный 4 2 2 4 2 2 3 2" xfId="257"/>
    <cellStyle name="Обычный 4 2 2 4 2 2 4" xfId="258"/>
    <cellStyle name="Обычный 4 2 2 4 2 3" xfId="259"/>
    <cellStyle name="Обычный 4 2 2 4 2 3 2" xfId="260"/>
    <cellStyle name="Обычный 4 2 2 4 2 3 2 2" xfId="261"/>
    <cellStyle name="Обычный 4 2 2 4 2 3 3" xfId="262"/>
    <cellStyle name="Обычный 4 2 2 4 2 4" xfId="263"/>
    <cellStyle name="Обычный 4 2 2 4 2 4 2" xfId="264"/>
    <cellStyle name="Обычный 4 2 2 4 2 5" xfId="265"/>
    <cellStyle name="Обычный 4 2 2 4 3" xfId="266"/>
    <cellStyle name="Обычный 4 2 2 4 3 2" xfId="267"/>
    <cellStyle name="Обычный 4 2 2 4 3 2 2" xfId="268"/>
    <cellStyle name="Обычный 4 2 2 4 3 2 2 2" xfId="269"/>
    <cellStyle name="Обычный 4 2 2 4 3 2 3" xfId="270"/>
    <cellStyle name="Обычный 4 2 2 4 3 3" xfId="271"/>
    <cellStyle name="Обычный 4 2 2 4 3 3 2" xfId="272"/>
    <cellStyle name="Обычный 4 2 2 4 3 4" xfId="273"/>
    <cellStyle name="Обычный 4 2 2 4 4" xfId="274"/>
    <cellStyle name="Обычный 4 2 2 4 4 2" xfId="275"/>
    <cellStyle name="Обычный 4 2 2 4 4 2 2" xfId="276"/>
    <cellStyle name="Обычный 4 2 2 4 4 3" xfId="277"/>
    <cellStyle name="Обычный 4 2 2 4 5" xfId="278"/>
    <cellStyle name="Обычный 4 2 2 4 5 2" xfId="279"/>
    <cellStyle name="Обычный 4 2 2 4 6" xfId="280"/>
    <cellStyle name="Обычный 4 2 2 5" xfId="281"/>
    <cellStyle name="Обычный 4 2 2 5 2" xfId="282"/>
    <cellStyle name="Обычный 4 2 2 5 2 2" xfId="283"/>
    <cellStyle name="Обычный 4 2 2 5 2 2 2" xfId="284"/>
    <cellStyle name="Обычный 4 2 2 5 2 2 2 2" xfId="285"/>
    <cellStyle name="Обычный 4 2 2 5 2 2 3" xfId="286"/>
    <cellStyle name="Обычный 4 2 2 5 2 3" xfId="287"/>
    <cellStyle name="Обычный 4 2 2 5 2 3 2" xfId="288"/>
    <cellStyle name="Обычный 4 2 2 5 2 4" xfId="289"/>
    <cellStyle name="Обычный 4 2 2 5 3" xfId="290"/>
    <cellStyle name="Обычный 4 2 2 5 3 2" xfId="291"/>
    <cellStyle name="Обычный 4 2 2 5 3 2 2" xfId="292"/>
    <cellStyle name="Обычный 4 2 2 5 3 3" xfId="293"/>
    <cellStyle name="Обычный 4 2 2 5 4" xfId="294"/>
    <cellStyle name="Обычный 4 2 2 5 4 2" xfId="295"/>
    <cellStyle name="Обычный 4 2 2 5 5" xfId="296"/>
    <cellStyle name="Обычный 4 2 2 6" xfId="297"/>
    <cellStyle name="Обычный 4 2 2 6 2" xfId="298"/>
    <cellStyle name="Обычный 4 2 2 6 2 2" xfId="299"/>
    <cellStyle name="Обычный 4 2 2 6 2 2 2" xfId="300"/>
    <cellStyle name="Обычный 4 2 2 6 2 3" xfId="301"/>
    <cellStyle name="Обычный 4 2 2 6 3" xfId="302"/>
    <cellStyle name="Обычный 4 2 2 6 3 2" xfId="303"/>
    <cellStyle name="Обычный 4 2 2 6 4" xfId="304"/>
    <cellStyle name="Обычный 4 2 2 7" xfId="305"/>
    <cellStyle name="Обычный 4 2 2 7 2" xfId="306"/>
    <cellStyle name="Обычный 4 2 2 7 2 2" xfId="307"/>
    <cellStyle name="Обычный 4 2 2 7 3" xfId="308"/>
    <cellStyle name="Обычный 4 2 2 8" xfId="309"/>
    <cellStyle name="Обычный 4 2 2 8 2" xfId="310"/>
    <cellStyle name="Обычный 4 2 2 9" xfId="311"/>
    <cellStyle name="Обычный 4 2 3" xfId="312"/>
    <cellStyle name="Обычный 4 2 3 2" xfId="313"/>
    <cellStyle name="Обычный 4 2 3 2 2" xfId="314"/>
    <cellStyle name="Обычный 4 2 3 2 2 2" xfId="315"/>
    <cellStyle name="Обычный 4 2 3 2 2 2 2" xfId="316"/>
    <cellStyle name="Обычный 4 2 3 2 2 2 2 2" xfId="317"/>
    <cellStyle name="Обычный 4 2 3 2 2 2 2 2 2" xfId="318"/>
    <cellStyle name="Обычный 4 2 3 2 2 2 2 2 2 2" xfId="319"/>
    <cellStyle name="Обычный 4 2 3 2 2 2 2 2 3" xfId="320"/>
    <cellStyle name="Обычный 4 2 3 2 2 2 2 3" xfId="321"/>
    <cellStyle name="Обычный 4 2 3 2 2 2 2 3 2" xfId="322"/>
    <cellStyle name="Обычный 4 2 3 2 2 2 2 4" xfId="323"/>
    <cellStyle name="Обычный 4 2 3 2 2 2 3" xfId="324"/>
    <cellStyle name="Обычный 4 2 3 2 2 2 3 2" xfId="325"/>
    <cellStyle name="Обычный 4 2 3 2 2 2 3 2 2" xfId="326"/>
    <cellStyle name="Обычный 4 2 3 2 2 2 3 3" xfId="327"/>
    <cellStyle name="Обычный 4 2 3 2 2 2 4" xfId="328"/>
    <cellStyle name="Обычный 4 2 3 2 2 2 4 2" xfId="329"/>
    <cellStyle name="Обычный 4 2 3 2 2 2 5" xfId="330"/>
    <cellStyle name="Обычный 4 2 3 2 2 3" xfId="331"/>
    <cellStyle name="Обычный 4 2 3 2 2 3 2" xfId="332"/>
    <cellStyle name="Обычный 4 2 3 2 2 3 2 2" xfId="333"/>
    <cellStyle name="Обычный 4 2 3 2 2 3 2 2 2" xfId="334"/>
    <cellStyle name="Обычный 4 2 3 2 2 3 2 3" xfId="335"/>
    <cellStyle name="Обычный 4 2 3 2 2 3 3" xfId="336"/>
    <cellStyle name="Обычный 4 2 3 2 2 3 3 2" xfId="337"/>
    <cellStyle name="Обычный 4 2 3 2 2 3 4" xfId="338"/>
    <cellStyle name="Обычный 4 2 3 2 2 4" xfId="339"/>
    <cellStyle name="Обычный 4 2 3 2 2 4 2" xfId="340"/>
    <cellStyle name="Обычный 4 2 3 2 2 4 2 2" xfId="341"/>
    <cellStyle name="Обычный 4 2 3 2 2 4 3" xfId="342"/>
    <cellStyle name="Обычный 4 2 3 2 2 5" xfId="343"/>
    <cellStyle name="Обычный 4 2 3 2 2 5 2" xfId="344"/>
    <cellStyle name="Обычный 4 2 3 2 2 6" xfId="345"/>
    <cellStyle name="Обычный 4 2 3 2 3" xfId="346"/>
    <cellStyle name="Обычный 4 2 3 2 3 2" xfId="347"/>
    <cellStyle name="Обычный 4 2 3 2 3 2 2" xfId="348"/>
    <cellStyle name="Обычный 4 2 3 2 3 2 2 2" xfId="349"/>
    <cellStyle name="Обычный 4 2 3 2 3 2 2 2 2" xfId="350"/>
    <cellStyle name="Обычный 4 2 3 2 3 2 2 3" xfId="351"/>
    <cellStyle name="Обычный 4 2 3 2 3 2 3" xfId="352"/>
    <cellStyle name="Обычный 4 2 3 2 3 2 3 2" xfId="353"/>
    <cellStyle name="Обычный 4 2 3 2 3 2 4" xfId="354"/>
    <cellStyle name="Обычный 4 2 3 2 3 3" xfId="355"/>
    <cellStyle name="Обычный 4 2 3 2 3 3 2" xfId="356"/>
    <cellStyle name="Обычный 4 2 3 2 3 3 2 2" xfId="357"/>
    <cellStyle name="Обычный 4 2 3 2 3 3 3" xfId="358"/>
    <cellStyle name="Обычный 4 2 3 2 3 4" xfId="359"/>
    <cellStyle name="Обычный 4 2 3 2 3 4 2" xfId="360"/>
    <cellStyle name="Обычный 4 2 3 2 3 5" xfId="361"/>
    <cellStyle name="Обычный 4 2 3 2 4" xfId="362"/>
    <cellStyle name="Обычный 4 2 3 2 4 2" xfId="363"/>
    <cellStyle name="Обычный 4 2 3 2 4 2 2" xfId="364"/>
    <cellStyle name="Обычный 4 2 3 2 4 2 2 2" xfId="365"/>
    <cellStyle name="Обычный 4 2 3 2 4 2 3" xfId="366"/>
    <cellStyle name="Обычный 4 2 3 2 4 3" xfId="367"/>
    <cellStyle name="Обычный 4 2 3 2 4 3 2" xfId="368"/>
    <cellStyle name="Обычный 4 2 3 2 4 4" xfId="369"/>
    <cellStyle name="Обычный 4 2 3 2 5" xfId="370"/>
    <cellStyle name="Обычный 4 2 3 2 5 2" xfId="371"/>
    <cellStyle name="Обычный 4 2 3 2 5 2 2" xfId="372"/>
    <cellStyle name="Обычный 4 2 3 2 5 3" xfId="373"/>
    <cellStyle name="Обычный 4 2 3 2 6" xfId="374"/>
    <cellStyle name="Обычный 4 2 3 2 6 2" xfId="375"/>
    <cellStyle name="Обычный 4 2 3 2 7" xfId="376"/>
    <cellStyle name="Обычный 4 2 3 3" xfId="377"/>
    <cellStyle name="Обычный 4 2 3 3 2" xfId="378"/>
    <cellStyle name="Обычный 4 2 3 3 2 2" xfId="379"/>
    <cellStyle name="Обычный 4 2 3 3 2 2 2" xfId="380"/>
    <cellStyle name="Обычный 4 2 3 3 2 2 2 2" xfId="381"/>
    <cellStyle name="Обычный 4 2 3 3 2 2 2 2 2" xfId="382"/>
    <cellStyle name="Обычный 4 2 3 3 2 2 2 3" xfId="383"/>
    <cellStyle name="Обычный 4 2 3 3 2 2 3" xfId="384"/>
    <cellStyle name="Обычный 4 2 3 3 2 2 3 2" xfId="385"/>
    <cellStyle name="Обычный 4 2 3 3 2 2 4" xfId="386"/>
    <cellStyle name="Обычный 4 2 3 3 2 3" xfId="387"/>
    <cellStyle name="Обычный 4 2 3 3 2 3 2" xfId="388"/>
    <cellStyle name="Обычный 4 2 3 3 2 3 2 2" xfId="389"/>
    <cellStyle name="Обычный 4 2 3 3 2 3 3" xfId="390"/>
    <cellStyle name="Обычный 4 2 3 3 2 4" xfId="391"/>
    <cellStyle name="Обычный 4 2 3 3 2 4 2" xfId="392"/>
    <cellStyle name="Обычный 4 2 3 3 2 5" xfId="393"/>
    <cellStyle name="Обычный 4 2 3 3 3" xfId="394"/>
    <cellStyle name="Обычный 4 2 3 3 3 2" xfId="395"/>
    <cellStyle name="Обычный 4 2 3 3 3 2 2" xfId="396"/>
    <cellStyle name="Обычный 4 2 3 3 3 2 2 2" xfId="397"/>
    <cellStyle name="Обычный 4 2 3 3 3 2 3" xfId="398"/>
    <cellStyle name="Обычный 4 2 3 3 3 3" xfId="399"/>
    <cellStyle name="Обычный 4 2 3 3 3 3 2" xfId="400"/>
    <cellStyle name="Обычный 4 2 3 3 3 4" xfId="401"/>
    <cellStyle name="Обычный 4 2 3 3 4" xfId="402"/>
    <cellStyle name="Обычный 4 2 3 3 4 2" xfId="403"/>
    <cellStyle name="Обычный 4 2 3 3 4 2 2" xfId="404"/>
    <cellStyle name="Обычный 4 2 3 3 4 3" xfId="405"/>
    <cellStyle name="Обычный 4 2 3 3 5" xfId="406"/>
    <cellStyle name="Обычный 4 2 3 3 5 2" xfId="407"/>
    <cellStyle name="Обычный 4 2 3 3 6" xfId="408"/>
    <cellStyle name="Обычный 4 2 3 4" xfId="409"/>
    <cellStyle name="Обычный 4 2 3 4 2" xfId="410"/>
    <cellStyle name="Обычный 4 2 3 4 2 2" xfId="411"/>
    <cellStyle name="Обычный 4 2 3 4 2 2 2" xfId="412"/>
    <cellStyle name="Обычный 4 2 3 4 2 2 2 2" xfId="413"/>
    <cellStyle name="Обычный 4 2 3 4 2 2 3" xfId="414"/>
    <cellStyle name="Обычный 4 2 3 4 2 3" xfId="415"/>
    <cellStyle name="Обычный 4 2 3 4 2 3 2" xfId="416"/>
    <cellStyle name="Обычный 4 2 3 4 2 4" xfId="417"/>
    <cellStyle name="Обычный 4 2 3 4 3" xfId="418"/>
    <cellStyle name="Обычный 4 2 3 4 3 2" xfId="419"/>
    <cellStyle name="Обычный 4 2 3 4 3 2 2" xfId="420"/>
    <cellStyle name="Обычный 4 2 3 4 3 3" xfId="421"/>
    <cellStyle name="Обычный 4 2 3 4 4" xfId="422"/>
    <cellStyle name="Обычный 4 2 3 4 4 2" xfId="423"/>
    <cellStyle name="Обычный 4 2 3 4 5" xfId="424"/>
    <cellStyle name="Обычный 4 2 3 5" xfId="425"/>
    <cellStyle name="Обычный 4 2 3 5 2" xfId="426"/>
    <cellStyle name="Обычный 4 2 3 5 2 2" xfId="427"/>
    <cellStyle name="Обычный 4 2 3 5 2 2 2" xfId="428"/>
    <cellStyle name="Обычный 4 2 3 5 2 3" xfId="429"/>
    <cellStyle name="Обычный 4 2 3 5 3" xfId="430"/>
    <cellStyle name="Обычный 4 2 3 5 3 2" xfId="431"/>
    <cellStyle name="Обычный 4 2 3 5 4" xfId="432"/>
    <cellStyle name="Обычный 4 2 3 6" xfId="433"/>
    <cellStyle name="Обычный 4 2 3 6 2" xfId="434"/>
    <cellStyle name="Обычный 4 2 3 6 2 2" xfId="435"/>
    <cellStyle name="Обычный 4 2 3 6 3" xfId="436"/>
    <cellStyle name="Обычный 4 2 3 7" xfId="437"/>
    <cellStyle name="Обычный 4 2 3 7 2" xfId="438"/>
    <cellStyle name="Обычный 4 2 3 8" xfId="439"/>
    <cellStyle name="Обычный 4 2 4" xfId="440"/>
    <cellStyle name="Обычный 4 2 4 2" xfId="441"/>
    <cellStyle name="Обычный 4 2 4 2 2" xfId="442"/>
    <cellStyle name="Обычный 4 2 4 2 2 2" xfId="443"/>
    <cellStyle name="Обычный 4 2 4 2 2 2 2" xfId="444"/>
    <cellStyle name="Обычный 4 2 4 2 2 2 2 2" xfId="445"/>
    <cellStyle name="Обычный 4 2 4 2 2 2 2 2 2" xfId="446"/>
    <cellStyle name="Обычный 4 2 4 2 2 2 2 3" xfId="447"/>
    <cellStyle name="Обычный 4 2 4 2 2 2 3" xfId="448"/>
    <cellStyle name="Обычный 4 2 4 2 2 2 3 2" xfId="449"/>
    <cellStyle name="Обычный 4 2 4 2 2 2 4" xfId="450"/>
    <cellStyle name="Обычный 4 2 4 2 2 3" xfId="451"/>
    <cellStyle name="Обычный 4 2 4 2 2 3 2" xfId="452"/>
    <cellStyle name="Обычный 4 2 4 2 2 3 2 2" xfId="453"/>
    <cellStyle name="Обычный 4 2 4 2 2 3 3" xfId="454"/>
    <cellStyle name="Обычный 4 2 4 2 2 4" xfId="455"/>
    <cellStyle name="Обычный 4 2 4 2 2 4 2" xfId="456"/>
    <cellStyle name="Обычный 4 2 4 2 2 5" xfId="457"/>
    <cellStyle name="Обычный 4 2 4 2 3" xfId="458"/>
    <cellStyle name="Обычный 4 2 4 2 3 2" xfId="459"/>
    <cellStyle name="Обычный 4 2 4 2 3 2 2" xfId="460"/>
    <cellStyle name="Обычный 4 2 4 2 3 2 2 2" xfId="461"/>
    <cellStyle name="Обычный 4 2 4 2 3 2 3" xfId="462"/>
    <cellStyle name="Обычный 4 2 4 2 3 3" xfId="463"/>
    <cellStyle name="Обычный 4 2 4 2 3 3 2" xfId="464"/>
    <cellStyle name="Обычный 4 2 4 2 3 4" xfId="465"/>
    <cellStyle name="Обычный 4 2 4 2 4" xfId="466"/>
    <cellStyle name="Обычный 4 2 4 2 4 2" xfId="467"/>
    <cellStyle name="Обычный 4 2 4 2 4 2 2" xfId="468"/>
    <cellStyle name="Обычный 4 2 4 2 4 3" xfId="469"/>
    <cellStyle name="Обычный 4 2 4 2 5" xfId="470"/>
    <cellStyle name="Обычный 4 2 4 2 5 2" xfId="471"/>
    <cellStyle name="Обычный 4 2 4 2 6" xfId="472"/>
    <cellStyle name="Обычный 4 2 4 3" xfId="473"/>
    <cellStyle name="Обычный 4 2 4 3 2" xfId="474"/>
    <cellStyle name="Обычный 4 2 4 3 2 2" xfId="475"/>
    <cellStyle name="Обычный 4 2 4 3 2 2 2" xfId="476"/>
    <cellStyle name="Обычный 4 2 4 3 2 2 2 2" xfId="477"/>
    <cellStyle name="Обычный 4 2 4 3 2 2 3" xfId="478"/>
    <cellStyle name="Обычный 4 2 4 3 2 3" xfId="479"/>
    <cellStyle name="Обычный 4 2 4 3 2 3 2" xfId="480"/>
    <cellStyle name="Обычный 4 2 4 3 2 4" xfId="481"/>
    <cellStyle name="Обычный 4 2 4 3 3" xfId="482"/>
    <cellStyle name="Обычный 4 2 4 3 3 2" xfId="483"/>
    <cellStyle name="Обычный 4 2 4 3 3 2 2" xfId="484"/>
    <cellStyle name="Обычный 4 2 4 3 3 3" xfId="485"/>
    <cellStyle name="Обычный 4 2 4 3 4" xfId="486"/>
    <cellStyle name="Обычный 4 2 4 3 4 2" xfId="487"/>
    <cellStyle name="Обычный 4 2 4 3 5" xfId="488"/>
    <cellStyle name="Обычный 4 2 4 4" xfId="489"/>
    <cellStyle name="Обычный 4 2 4 4 2" xfId="490"/>
    <cellStyle name="Обычный 4 2 4 4 2 2" xfId="491"/>
    <cellStyle name="Обычный 4 2 4 4 2 2 2" xfId="492"/>
    <cellStyle name="Обычный 4 2 4 4 2 3" xfId="493"/>
    <cellStyle name="Обычный 4 2 4 4 3" xfId="494"/>
    <cellStyle name="Обычный 4 2 4 4 3 2" xfId="495"/>
    <cellStyle name="Обычный 4 2 4 4 4" xfId="496"/>
    <cellStyle name="Обычный 4 2 4 5" xfId="497"/>
    <cellStyle name="Обычный 4 2 4 5 2" xfId="498"/>
    <cellStyle name="Обычный 4 2 4 5 2 2" xfId="499"/>
    <cellStyle name="Обычный 4 2 4 5 3" xfId="500"/>
    <cellStyle name="Обычный 4 2 4 6" xfId="501"/>
    <cellStyle name="Обычный 4 2 4 6 2" xfId="502"/>
    <cellStyle name="Обычный 4 2 4 7" xfId="503"/>
    <cellStyle name="Обычный 4 2 5" xfId="504"/>
    <cellStyle name="Обычный 4 2 5 2" xfId="505"/>
    <cellStyle name="Обычный 4 2 5 2 2" xfId="506"/>
    <cellStyle name="Обычный 4 2 5 2 2 2" xfId="507"/>
    <cellStyle name="Обычный 4 2 5 2 2 2 2" xfId="508"/>
    <cellStyle name="Обычный 4 2 5 2 2 2 2 2" xfId="509"/>
    <cellStyle name="Обычный 4 2 5 2 2 2 3" xfId="510"/>
    <cellStyle name="Обычный 4 2 5 2 2 3" xfId="511"/>
    <cellStyle name="Обычный 4 2 5 2 2 3 2" xfId="512"/>
    <cellStyle name="Обычный 4 2 5 2 2 4" xfId="513"/>
    <cellStyle name="Обычный 4 2 5 2 3" xfId="514"/>
    <cellStyle name="Обычный 4 2 5 2 3 2" xfId="515"/>
    <cellStyle name="Обычный 4 2 5 2 3 2 2" xfId="516"/>
    <cellStyle name="Обычный 4 2 5 2 3 3" xfId="517"/>
    <cellStyle name="Обычный 4 2 5 2 4" xfId="518"/>
    <cellStyle name="Обычный 4 2 5 2 4 2" xfId="519"/>
    <cellStyle name="Обычный 4 2 5 2 5" xfId="520"/>
    <cellStyle name="Обычный 4 2 5 3" xfId="521"/>
    <cellStyle name="Обычный 4 2 5 3 2" xfId="522"/>
    <cellStyle name="Обычный 4 2 5 3 2 2" xfId="523"/>
    <cellStyle name="Обычный 4 2 5 3 2 2 2" xfId="524"/>
    <cellStyle name="Обычный 4 2 5 3 2 3" xfId="525"/>
    <cellStyle name="Обычный 4 2 5 3 3" xfId="526"/>
    <cellStyle name="Обычный 4 2 5 3 3 2" xfId="527"/>
    <cellStyle name="Обычный 4 2 5 3 4" xfId="528"/>
    <cellStyle name="Обычный 4 2 5 4" xfId="529"/>
    <cellStyle name="Обычный 4 2 5 4 2" xfId="530"/>
    <cellStyle name="Обычный 4 2 5 4 2 2" xfId="531"/>
    <cellStyle name="Обычный 4 2 5 4 3" xfId="532"/>
    <cellStyle name="Обычный 4 2 5 5" xfId="533"/>
    <cellStyle name="Обычный 4 2 5 5 2" xfId="534"/>
    <cellStyle name="Обычный 4 2 5 6" xfId="535"/>
    <cellStyle name="Обычный 4 2 6" xfId="536"/>
    <cellStyle name="Обычный 4 2 6 2" xfId="537"/>
    <cellStyle name="Обычный 4 2 6 2 2" xfId="538"/>
    <cellStyle name="Обычный 4 2 6 2 2 2" xfId="539"/>
    <cellStyle name="Обычный 4 2 6 2 2 2 2" xfId="540"/>
    <cellStyle name="Обычный 4 2 6 2 2 3" xfId="541"/>
    <cellStyle name="Обычный 4 2 6 2 3" xfId="542"/>
    <cellStyle name="Обычный 4 2 6 2 3 2" xfId="543"/>
    <cellStyle name="Обычный 4 2 6 2 4" xfId="544"/>
    <cellStyle name="Обычный 4 2 6 3" xfId="545"/>
    <cellStyle name="Обычный 4 2 6 3 2" xfId="546"/>
    <cellStyle name="Обычный 4 2 6 3 2 2" xfId="547"/>
    <cellStyle name="Обычный 4 2 6 3 3" xfId="548"/>
    <cellStyle name="Обычный 4 2 6 4" xfId="549"/>
    <cellStyle name="Обычный 4 2 6 4 2" xfId="550"/>
    <cellStyle name="Обычный 4 2 6 5" xfId="551"/>
    <cellStyle name="Обычный 4 2 7" xfId="552"/>
    <cellStyle name="Обычный 4 2 7 2" xfId="553"/>
    <cellStyle name="Обычный 4 2 7 2 2" xfId="554"/>
    <cellStyle name="Обычный 4 2 7 2 2 2" xfId="555"/>
    <cellStyle name="Обычный 4 2 7 2 3" xfId="556"/>
    <cellStyle name="Обычный 4 2 7 3" xfId="557"/>
    <cellStyle name="Обычный 4 2 7 3 2" xfId="558"/>
    <cellStyle name="Обычный 4 2 7 4" xfId="559"/>
    <cellStyle name="Обычный 4 2 8" xfId="560"/>
    <cellStyle name="Обычный 4 2 8 2" xfId="561"/>
    <cellStyle name="Обычный 4 2 8 2 2" xfId="562"/>
    <cellStyle name="Обычный 4 2 8 3" xfId="563"/>
    <cellStyle name="Обычный 4 2 9" xfId="564"/>
    <cellStyle name="Обычный 4 2 9 2" xfId="565"/>
    <cellStyle name="Обычный 4 3" xfId="566"/>
    <cellStyle name="Обычный 4 3 2" xfId="567"/>
    <cellStyle name="Обычный 4 3 2 2" xfId="568"/>
    <cellStyle name="Обычный 4 3 2 2 2" xfId="569"/>
    <cellStyle name="Обычный 4 3 2 2 2 2" xfId="570"/>
    <cellStyle name="Обычный 4 3 2 2 2 2 2" xfId="571"/>
    <cellStyle name="Обычный 4 3 2 2 2 2 2 2" xfId="572"/>
    <cellStyle name="Обычный 4 3 2 2 2 2 2 2 2" xfId="573"/>
    <cellStyle name="Обычный 4 3 2 2 2 2 2 2 2 2" xfId="574"/>
    <cellStyle name="Обычный 4 3 2 2 2 2 2 2 3" xfId="575"/>
    <cellStyle name="Обычный 4 3 2 2 2 2 2 3" xfId="576"/>
    <cellStyle name="Обычный 4 3 2 2 2 2 2 3 2" xfId="577"/>
    <cellStyle name="Обычный 4 3 2 2 2 2 2 4" xfId="578"/>
    <cellStyle name="Обычный 4 3 2 2 2 2 3" xfId="579"/>
    <cellStyle name="Обычный 4 3 2 2 2 2 3 2" xfId="580"/>
    <cellStyle name="Обычный 4 3 2 2 2 2 3 2 2" xfId="581"/>
    <cellStyle name="Обычный 4 3 2 2 2 2 3 3" xfId="582"/>
    <cellStyle name="Обычный 4 3 2 2 2 2 4" xfId="583"/>
    <cellStyle name="Обычный 4 3 2 2 2 2 4 2" xfId="584"/>
    <cellStyle name="Обычный 4 3 2 2 2 2 5" xfId="585"/>
    <cellStyle name="Обычный 4 3 2 2 2 3" xfId="586"/>
    <cellStyle name="Обычный 4 3 2 2 2 3 2" xfId="587"/>
    <cellStyle name="Обычный 4 3 2 2 2 3 2 2" xfId="588"/>
    <cellStyle name="Обычный 4 3 2 2 2 3 2 2 2" xfId="589"/>
    <cellStyle name="Обычный 4 3 2 2 2 3 2 3" xfId="590"/>
    <cellStyle name="Обычный 4 3 2 2 2 3 3" xfId="591"/>
    <cellStyle name="Обычный 4 3 2 2 2 3 3 2" xfId="592"/>
    <cellStyle name="Обычный 4 3 2 2 2 3 4" xfId="593"/>
    <cellStyle name="Обычный 4 3 2 2 2 4" xfId="594"/>
    <cellStyle name="Обычный 4 3 2 2 2 4 2" xfId="595"/>
    <cellStyle name="Обычный 4 3 2 2 2 4 2 2" xfId="596"/>
    <cellStyle name="Обычный 4 3 2 2 2 4 3" xfId="597"/>
    <cellStyle name="Обычный 4 3 2 2 2 5" xfId="598"/>
    <cellStyle name="Обычный 4 3 2 2 2 5 2" xfId="599"/>
    <cellStyle name="Обычный 4 3 2 2 2 6" xfId="600"/>
    <cellStyle name="Обычный 4 3 2 2 3" xfId="601"/>
    <cellStyle name="Обычный 4 3 2 2 3 2" xfId="602"/>
    <cellStyle name="Обычный 4 3 2 2 3 2 2" xfId="603"/>
    <cellStyle name="Обычный 4 3 2 2 3 2 2 2" xfId="604"/>
    <cellStyle name="Обычный 4 3 2 2 3 2 2 2 2" xfId="605"/>
    <cellStyle name="Обычный 4 3 2 2 3 2 2 3" xfId="606"/>
    <cellStyle name="Обычный 4 3 2 2 3 2 3" xfId="607"/>
    <cellStyle name="Обычный 4 3 2 2 3 2 3 2" xfId="608"/>
    <cellStyle name="Обычный 4 3 2 2 3 2 4" xfId="609"/>
    <cellStyle name="Обычный 4 3 2 2 3 3" xfId="610"/>
    <cellStyle name="Обычный 4 3 2 2 3 3 2" xfId="611"/>
    <cellStyle name="Обычный 4 3 2 2 3 3 2 2" xfId="612"/>
    <cellStyle name="Обычный 4 3 2 2 3 3 3" xfId="613"/>
    <cellStyle name="Обычный 4 3 2 2 3 4" xfId="614"/>
    <cellStyle name="Обычный 4 3 2 2 3 4 2" xfId="615"/>
    <cellStyle name="Обычный 4 3 2 2 3 5" xfId="616"/>
    <cellStyle name="Обычный 4 3 2 2 4" xfId="617"/>
    <cellStyle name="Обычный 4 3 2 2 4 2" xfId="618"/>
    <cellStyle name="Обычный 4 3 2 2 4 2 2" xfId="619"/>
    <cellStyle name="Обычный 4 3 2 2 4 2 2 2" xfId="620"/>
    <cellStyle name="Обычный 4 3 2 2 4 2 3" xfId="621"/>
    <cellStyle name="Обычный 4 3 2 2 4 3" xfId="622"/>
    <cellStyle name="Обычный 4 3 2 2 4 3 2" xfId="623"/>
    <cellStyle name="Обычный 4 3 2 2 4 4" xfId="624"/>
    <cellStyle name="Обычный 4 3 2 2 5" xfId="625"/>
    <cellStyle name="Обычный 4 3 2 2 5 2" xfId="626"/>
    <cellStyle name="Обычный 4 3 2 2 5 2 2" xfId="627"/>
    <cellStyle name="Обычный 4 3 2 2 5 3" xfId="628"/>
    <cellStyle name="Обычный 4 3 2 2 6" xfId="629"/>
    <cellStyle name="Обычный 4 3 2 2 6 2" xfId="630"/>
    <cellStyle name="Обычный 4 3 2 2 7" xfId="631"/>
    <cellStyle name="Обычный 4 3 2 3" xfId="632"/>
    <cellStyle name="Обычный 4 3 2 3 2" xfId="633"/>
    <cellStyle name="Обычный 4 3 2 3 2 2" xfId="634"/>
    <cellStyle name="Обычный 4 3 2 3 2 2 2" xfId="635"/>
    <cellStyle name="Обычный 4 3 2 3 2 2 2 2" xfId="636"/>
    <cellStyle name="Обычный 4 3 2 3 2 2 2 2 2" xfId="637"/>
    <cellStyle name="Обычный 4 3 2 3 2 2 2 3" xfId="638"/>
    <cellStyle name="Обычный 4 3 2 3 2 2 3" xfId="639"/>
    <cellStyle name="Обычный 4 3 2 3 2 2 3 2" xfId="640"/>
    <cellStyle name="Обычный 4 3 2 3 2 2 4" xfId="641"/>
    <cellStyle name="Обычный 4 3 2 3 2 3" xfId="642"/>
    <cellStyle name="Обычный 4 3 2 3 2 3 2" xfId="643"/>
    <cellStyle name="Обычный 4 3 2 3 2 3 2 2" xfId="644"/>
    <cellStyle name="Обычный 4 3 2 3 2 3 3" xfId="645"/>
    <cellStyle name="Обычный 4 3 2 3 2 4" xfId="646"/>
    <cellStyle name="Обычный 4 3 2 3 2 4 2" xfId="647"/>
    <cellStyle name="Обычный 4 3 2 3 2 5" xfId="648"/>
    <cellStyle name="Обычный 4 3 2 3 3" xfId="649"/>
    <cellStyle name="Обычный 4 3 2 3 3 2" xfId="650"/>
    <cellStyle name="Обычный 4 3 2 3 3 2 2" xfId="651"/>
    <cellStyle name="Обычный 4 3 2 3 3 2 2 2" xfId="652"/>
    <cellStyle name="Обычный 4 3 2 3 3 2 3" xfId="653"/>
    <cellStyle name="Обычный 4 3 2 3 3 3" xfId="654"/>
    <cellStyle name="Обычный 4 3 2 3 3 3 2" xfId="655"/>
    <cellStyle name="Обычный 4 3 2 3 3 4" xfId="656"/>
    <cellStyle name="Обычный 4 3 2 3 4" xfId="657"/>
    <cellStyle name="Обычный 4 3 2 3 4 2" xfId="658"/>
    <cellStyle name="Обычный 4 3 2 3 4 2 2" xfId="659"/>
    <cellStyle name="Обычный 4 3 2 3 4 3" xfId="660"/>
    <cellStyle name="Обычный 4 3 2 3 5" xfId="661"/>
    <cellStyle name="Обычный 4 3 2 3 5 2" xfId="662"/>
    <cellStyle name="Обычный 4 3 2 3 6" xfId="663"/>
    <cellStyle name="Обычный 4 3 2 4" xfId="664"/>
    <cellStyle name="Обычный 4 3 2 4 2" xfId="665"/>
    <cellStyle name="Обычный 4 3 2 4 2 2" xfId="666"/>
    <cellStyle name="Обычный 4 3 2 4 2 2 2" xfId="667"/>
    <cellStyle name="Обычный 4 3 2 4 2 2 2 2" xfId="668"/>
    <cellStyle name="Обычный 4 3 2 4 2 2 3" xfId="669"/>
    <cellStyle name="Обычный 4 3 2 4 2 3" xfId="670"/>
    <cellStyle name="Обычный 4 3 2 4 2 3 2" xfId="671"/>
    <cellStyle name="Обычный 4 3 2 4 2 4" xfId="672"/>
    <cellStyle name="Обычный 4 3 2 4 3" xfId="673"/>
    <cellStyle name="Обычный 4 3 2 4 3 2" xfId="674"/>
    <cellStyle name="Обычный 4 3 2 4 3 2 2" xfId="675"/>
    <cellStyle name="Обычный 4 3 2 4 3 3" xfId="676"/>
    <cellStyle name="Обычный 4 3 2 4 4" xfId="677"/>
    <cellStyle name="Обычный 4 3 2 4 4 2" xfId="678"/>
    <cellStyle name="Обычный 4 3 2 4 5" xfId="679"/>
    <cellStyle name="Обычный 4 3 2 5" xfId="680"/>
    <cellStyle name="Обычный 4 3 2 5 2" xfId="681"/>
    <cellStyle name="Обычный 4 3 2 5 2 2" xfId="682"/>
    <cellStyle name="Обычный 4 3 2 5 2 2 2" xfId="683"/>
    <cellStyle name="Обычный 4 3 2 5 2 3" xfId="684"/>
    <cellStyle name="Обычный 4 3 2 5 3" xfId="685"/>
    <cellStyle name="Обычный 4 3 2 5 3 2" xfId="686"/>
    <cellStyle name="Обычный 4 3 2 5 4" xfId="687"/>
    <cellStyle name="Обычный 4 3 2 6" xfId="688"/>
    <cellStyle name="Обычный 4 3 2 6 2" xfId="689"/>
    <cellStyle name="Обычный 4 3 2 6 2 2" xfId="690"/>
    <cellStyle name="Обычный 4 3 2 6 3" xfId="691"/>
    <cellStyle name="Обычный 4 3 2 7" xfId="692"/>
    <cellStyle name="Обычный 4 3 2 7 2" xfId="693"/>
    <cellStyle name="Обычный 4 3 2 8" xfId="694"/>
    <cellStyle name="Обычный 4 3 3" xfId="695"/>
    <cellStyle name="Обычный 4 3 3 2" xfId="696"/>
    <cellStyle name="Обычный 4 3 3 2 2" xfId="697"/>
    <cellStyle name="Обычный 4 3 3 2 2 2" xfId="698"/>
    <cellStyle name="Обычный 4 3 3 2 2 2 2" xfId="699"/>
    <cellStyle name="Обычный 4 3 3 2 2 2 2 2" xfId="700"/>
    <cellStyle name="Обычный 4 3 3 2 2 2 2 2 2" xfId="701"/>
    <cellStyle name="Обычный 4 3 3 2 2 2 2 3" xfId="702"/>
    <cellStyle name="Обычный 4 3 3 2 2 2 3" xfId="703"/>
    <cellStyle name="Обычный 4 3 3 2 2 2 3 2" xfId="704"/>
    <cellStyle name="Обычный 4 3 3 2 2 2 4" xfId="705"/>
    <cellStyle name="Обычный 4 3 3 2 2 3" xfId="706"/>
    <cellStyle name="Обычный 4 3 3 2 2 3 2" xfId="707"/>
    <cellStyle name="Обычный 4 3 3 2 2 3 2 2" xfId="708"/>
    <cellStyle name="Обычный 4 3 3 2 2 3 3" xfId="709"/>
    <cellStyle name="Обычный 4 3 3 2 2 4" xfId="710"/>
    <cellStyle name="Обычный 4 3 3 2 2 4 2" xfId="711"/>
    <cellStyle name="Обычный 4 3 3 2 2 5" xfId="712"/>
    <cellStyle name="Обычный 4 3 3 2 3" xfId="713"/>
    <cellStyle name="Обычный 4 3 3 2 3 2" xfId="714"/>
    <cellStyle name="Обычный 4 3 3 2 3 2 2" xfId="715"/>
    <cellStyle name="Обычный 4 3 3 2 3 2 2 2" xfId="716"/>
    <cellStyle name="Обычный 4 3 3 2 3 2 3" xfId="717"/>
    <cellStyle name="Обычный 4 3 3 2 3 3" xfId="718"/>
    <cellStyle name="Обычный 4 3 3 2 3 3 2" xfId="719"/>
    <cellStyle name="Обычный 4 3 3 2 3 4" xfId="720"/>
    <cellStyle name="Обычный 4 3 3 2 4" xfId="721"/>
    <cellStyle name="Обычный 4 3 3 2 4 2" xfId="722"/>
    <cellStyle name="Обычный 4 3 3 2 4 2 2" xfId="723"/>
    <cellStyle name="Обычный 4 3 3 2 4 3" xfId="724"/>
    <cellStyle name="Обычный 4 3 3 2 5" xfId="725"/>
    <cellStyle name="Обычный 4 3 3 2 5 2" xfId="726"/>
    <cellStyle name="Обычный 4 3 3 2 6" xfId="727"/>
    <cellStyle name="Обычный 4 3 3 3" xfId="728"/>
    <cellStyle name="Обычный 4 3 3 3 2" xfId="729"/>
    <cellStyle name="Обычный 4 3 3 3 2 2" xfId="730"/>
    <cellStyle name="Обычный 4 3 3 3 2 2 2" xfId="731"/>
    <cellStyle name="Обычный 4 3 3 3 2 2 2 2" xfId="732"/>
    <cellStyle name="Обычный 4 3 3 3 2 2 3" xfId="733"/>
    <cellStyle name="Обычный 4 3 3 3 2 3" xfId="734"/>
    <cellStyle name="Обычный 4 3 3 3 2 3 2" xfId="735"/>
    <cellStyle name="Обычный 4 3 3 3 2 4" xfId="736"/>
    <cellStyle name="Обычный 4 3 3 3 3" xfId="737"/>
    <cellStyle name="Обычный 4 3 3 3 3 2" xfId="738"/>
    <cellStyle name="Обычный 4 3 3 3 3 2 2" xfId="739"/>
    <cellStyle name="Обычный 4 3 3 3 3 3" xfId="740"/>
    <cellStyle name="Обычный 4 3 3 3 4" xfId="741"/>
    <cellStyle name="Обычный 4 3 3 3 4 2" xfId="742"/>
    <cellStyle name="Обычный 4 3 3 3 5" xfId="743"/>
    <cellStyle name="Обычный 4 3 3 4" xfId="744"/>
    <cellStyle name="Обычный 4 3 3 4 2" xfId="745"/>
    <cellStyle name="Обычный 4 3 3 4 2 2" xfId="746"/>
    <cellStyle name="Обычный 4 3 3 4 2 2 2" xfId="747"/>
    <cellStyle name="Обычный 4 3 3 4 2 3" xfId="748"/>
    <cellStyle name="Обычный 4 3 3 4 3" xfId="749"/>
    <cellStyle name="Обычный 4 3 3 4 3 2" xfId="750"/>
    <cellStyle name="Обычный 4 3 3 4 4" xfId="751"/>
    <cellStyle name="Обычный 4 3 3 5" xfId="752"/>
    <cellStyle name="Обычный 4 3 3 5 2" xfId="753"/>
    <cellStyle name="Обычный 4 3 3 5 2 2" xfId="754"/>
    <cellStyle name="Обычный 4 3 3 5 3" xfId="755"/>
    <cellStyle name="Обычный 4 3 3 6" xfId="756"/>
    <cellStyle name="Обычный 4 3 3 6 2" xfId="757"/>
    <cellStyle name="Обычный 4 3 3 7" xfId="758"/>
    <cellStyle name="Обычный 4 3 4" xfId="759"/>
    <cellStyle name="Обычный 4 3 4 2" xfId="760"/>
    <cellStyle name="Обычный 4 3 4 2 2" xfId="761"/>
    <cellStyle name="Обычный 4 3 4 2 2 2" xfId="762"/>
    <cellStyle name="Обычный 4 3 4 2 2 2 2" xfId="763"/>
    <cellStyle name="Обычный 4 3 4 2 2 2 2 2" xfId="764"/>
    <cellStyle name="Обычный 4 3 4 2 2 2 3" xfId="765"/>
    <cellStyle name="Обычный 4 3 4 2 2 3" xfId="766"/>
    <cellStyle name="Обычный 4 3 4 2 2 3 2" xfId="767"/>
    <cellStyle name="Обычный 4 3 4 2 2 4" xfId="768"/>
    <cellStyle name="Обычный 4 3 4 2 3" xfId="769"/>
    <cellStyle name="Обычный 4 3 4 2 3 2" xfId="770"/>
    <cellStyle name="Обычный 4 3 4 2 3 2 2" xfId="771"/>
    <cellStyle name="Обычный 4 3 4 2 3 3" xfId="772"/>
    <cellStyle name="Обычный 4 3 4 2 4" xfId="773"/>
    <cellStyle name="Обычный 4 3 4 2 4 2" xfId="774"/>
    <cellStyle name="Обычный 4 3 4 2 5" xfId="775"/>
    <cellStyle name="Обычный 4 3 4 3" xfId="776"/>
    <cellStyle name="Обычный 4 3 4 3 2" xfId="777"/>
    <cellStyle name="Обычный 4 3 4 3 2 2" xfId="778"/>
    <cellStyle name="Обычный 4 3 4 3 2 2 2" xfId="779"/>
    <cellStyle name="Обычный 4 3 4 3 2 3" xfId="780"/>
    <cellStyle name="Обычный 4 3 4 3 3" xfId="781"/>
    <cellStyle name="Обычный 4 3 4 3 3 2" xfId="782"/>
    <cellStyle name="Обычный 4 3 4 3 4" xfId="783"/>
    <cellStyle name="Обычный 4 3 4 4" xfId="784"/>
    <cellStyle name="Обычный 4 3 4 4 2" xfId="785"/>
    <cellStyle name="Обычный 4 3 4 4 2 2" xfId="786"/>
    <cellStyle name="Обычный 4 3 4 4 3" xfId="787"/>
    <cellStyle name="Обычный 4 3 4 5" xfId="788"/>
    <cellStyle name="Обычный 4 3 4 5 2" xfId="789"/>
    <cellStyle name="Обычный 4 3 4 6" xfId="790"/>
    <cellStyle name="Обычный 4 3 5" xfId="791"/>
    <cellStyle name="Обычный 4 3 5 2" xfId="792"/>
    <cellStyle name="Обычный 4 3 5 2 2" xfId="793"/>
    <cellStyle name="Обычный 4 3 5 2 2 2" xfId="794"/>
    <cellStyle name="Обычный 4 3 5 2 2 2 2" xfId="795"/>
    <cellStyle name="Обычный 4 3 5 2 2 3" xfId="796"/>
    <cellStyle name="Обычный 4 3 5 2 3" xfId="797"/>
    <cellStyle name="Обычный 4 3 5 2 3 2" xfId="798"/>
    <cellStyle name="Обычный 4 3 5 2 4" xfId="799"/>
    <cellStyle name="Обычный 4 3 5 3" xfId="800"/>
    <cellStyle name="Обычный 4 3 5 3 2" xfId="801"/>
    <cellStyle name="Обычный 4 3 5 3 2 2" xfId="802"/>
    <cellStyle name="Обычный 4 3 5 3 3" xfId="803"/>
    <cellStyle name="Обычный 4 3 5 4" xfId="804"/>
    <cellStyle name="Обычный 4 3 5 4 2" xfId="805"/>
    <cellStyle name="Обычный 4 3 5 5" xfId="806"/>
    <cellStyle name="Обычный 4 3 6" xfId="807"/>
    <cellStyle name="Обычный 4 3 6 2" xfId="808"/>
    <cellStyle name="Обычный 4 3 6 2 2" xfId="809"/>
    <cellStyle name="Обычный 4 3 6 2 2 2" xfId="810"/>
    <cellStyle name="Обычный 4 3 6 2 3" xfId="811"/>
    <cellStyle name="Обычный 4 3 6 3" xfId="812"/>
    <cellStyle name="Обычный 4 3 6 3 2" xfId="813"/>
    <cellStyle name="Обычный 4 3 6 4" xfId="814"/>
    <cellStyle name="Обычный 4 3 7" xfId="815"/>
    <cellStyle name="Обычный 4 3 7 2" xfId="816"/>
    <cellStyle name="Обычный 4 3 7 2 2" xfId="817"/>
    <cellStyle name="Обычный 4 3 7 3" xfId="818"/>
    <cellStyle name="Обычный 4 3 8" xfId="819"/>
    <cellStyle name="Обычный 4 3 8 2" xfId="820"/>
    <cellStyle name="Обычный 4 3 9" xfId="821"/>
    <cellStyle name="Обычный 4 4" xfId="822"/>
    <cellStyle name="Обычный 4 4 2" xfId="823"/>
    <cellStyle name="Обычный 4 4 2 2" xfId="824"/>
    <cellStyle name="Обычный 4 4 2 2 2" xfId="825"/>
    <cellStyle name="Обычный 4 4 2 2 2 2" xfId="826"/>
    <cellStyle name="Обычный 4 4 2 2 2 2 2" xfId="827"/>
    <cellStyle name="Обычный 4 4 2 2 2 2 2 2" xfId="828"/>
    <cellStyle name="Обычный 4 4 2 2 2 2 2 2 2" xfId="829"/>
    <cellStyle name="Обычный 4 4 2 2 2 2 2 3" xfId="830"/>
    <cellStyle name="Обычный 4 4 2 2 2 2 3" xfId="831"/>
    <cellStyle name="Обычный 4 4 2 2 2 2 3 2" xfId="832"/>
    <cellStyle name="Обычный 4 4 2 2 2 2 4" xfId="833"/>
    <cellStyle name="Обычный 4 4 2 2 2 3" xfId="834"/>
    <cellStyle name="Обычный 4 4 2 2 2 3 2" xfId="835"/>
    <cellStyle name="Обычный 4 4 2 2 2 3 2 2" xfId="836"/>
    <cellStyle name="Обычный 4 4 2 2 2 3 3" xfId="837"/>
    <cellStyle name="Обычный 4 4 2 2 2 4" xfId="838"/>
    <cellStyle name="Обычный 4 4 2 2 2 4 2" xfId="839"/>
    <cellStyle name="Обычный 4 4 2 2 2 5" xfId="840"/>
    <cellStyle name="Обычный 4 4 2 2 3" xfId="841"/>
    <cellStyle name="Обычный 4 4 2 2 3 2" xfId="842"/>
    <cellStyle name="Обычный 4 4 2 2 3 2 2" xfId="843"/>
    <cellStyle name="Обычный 4 4 2 2 3 2 2 2" xfId="844"/>
    <cellStyle name="Обычный 4 4 2 2 3 2 3" xfId="845"/>
    <cellStyle name="Обычный 4 4 2 2 3 3" xfId="846"/>
    <cellStyle name="Обычный 4 4 2 2 3 3 2" xfId="847"/>
    <cellStyle name="Обычный 4 4 2 2 3 4" xfId="848"/>
    <cellStyle name="Обычный 4 4 2 2 4" xfId="849"/>
    <cellStyle name="Обычный 4 4 2 2 4 2" xfId="850"/>
    <cellStyle name="Обычный 4 4 2 2 4 2 2" xfId="851"/>
    <cellStyle name="Обычный 4 4 2 2 4 3" xfId="852"/>
    <cellStyle name="Обычный 4 4 2 2 5" xfId="853"/>
    <cellStyle name="Обычный 4 4 2 2 5 2" xfId="854"/>
    <cellStyle name="Обычный 4 4 2 2 6" xfId="855"/>
    <cellStyle name="Обычный 4 4 2 3" xfId="856"/>
    <cellStyle name="Обычный 4 4 2 3 2" xfId="857"/>
    <cellStyle name="Обычный 4 4 2 3 2 2" xfId="858"/>
    <cellStyle name="Обычный 4 4 2 3 2 2 2" xfId="859"/>
    <cellStyle name="Обычный 4 4 2 3 2 2 2 2" xfId="860"/>
    <cellStyle name="Обычный 4 4 2 3 2 2 3" xfId="861"/>
    <cellStyle name="Обычный 4 4 2 3 2 3" xfId="862"/>
    <cellStyle name="Обычный 4 4 2 3 2 3 2" xfId="863"/>
    <cellStyle name="Обычный 4 4 2 3 2 4" xfId="864"/>
    <cellStyle name="Обычный 4 4 2 3 3" xfId="865"/>
    <cellStyle name="Обычный 4 4 2 3 3 2" xfId="866"/>
    <cellStyle name="Обычный 4 4 2 3 3 2 2" xfId="867"/>
    <cellStyle name="Обычный 4 4 2 3 3 3" xfId="868"/>
    <cellStyle name="Обычный 4 4 2 3 4" xfId="869"/>
    <cellStyle name="Обычный 4 4 2 3 4 2" xfId="870"/>
    <cellStyle name="Обычный 4 4 2 3 5" xfId="871"/>
    <cellStyle name="Обычный 4 4 2 4" xfId="872"/>
    <cellStyle name="Обычный 4 4 2 4 2" xfId="873"/>
    <cellStyle name="Обычный 4 4 2 4 2 2" xfId="874"/>
    <cellStyle name="Обычный 4 4 2 4 2 2 2" xfId="875"/>
    <cellStyle name="Обычный 4 4 2 4 2 3" xfId="876"/>
    <cellStyle name="Обычный 4 4 2 4 3" xfId="877"/>
    <cellStyle name="Обычный 4 4 2 4 3 2" xfId="878"/>
    <cellStyle name="Обычный 4 4 2 4 4" xfId="879"/>
    <cellStyle name="Обычный 4 4 2 5" xfId="880"/>
    <cellStyle name="Обычный 4 4 2 5 2" xfId="881"/>
    <cellStyle name="Обычный 4 4 2 5 2 2" xfId="882"/>
    <cellStyle name="Обычный 4 4 2 5 3" xfId="883"/>
    <cellStyle name="Обычный 4 4 2 6" xfId="884"/>
    <cellStyle name="Обычный 4 4 2 6 2" xfId="885"/>
    <cellStyle name="Обычный 4 4 2 7" xfId="886"/>
    <cellStyle name="Обычный 4 4 3" xfId="887"/>
    <cellStyle name="Обычный 4 4 3 2" xfId="888"/>
    <cellStyle name="Обычный 4 4 3 2 2" xfId="889"/>
    <cellStyle name="Обычный 4 4 3 2 2 2" xfId="890"/>
    <cellStyle name="Обычный 4 4 3 2 2 2 2" xfId="891"/>
    <cellStyle name="Обычный 4 4 3 2 2 2 2 2" xfId="892"/>
    <cellStyle name="Обычный 4 4 3 2 2 2 3" xfId="893"/>
    <cellStyle name="Обычный 4 4 3 2 2 3" xfId="894"/>
    <cellStyle name="Обычный 4 4 3 2 2 3 2" xfId="895"/>
    <cellStyle name="Обычный 4 4 3 2 2 4" xfId="896"/>
    <cellStyle name="Обычный 4 4 3 2 3" xfId="897"/>
    <cellStyle name="Обычный 4 4 3 2 3 2" xfId="898"/>
    <cellStyle name="Обычный 4 4 3 2 3 2 2" xfId="899"/>
    <cellStyle name="Обычный 4 4 3 2 3 3" xfId="900"/>
    <cellStyle name="Обычный 4 4 3 2 4" xfId="901"/>
    <cellStyle name="Обычный 4 4 3 2 4 2" xfId="902"/>
    <cellStyle name="Обычный 4 4 3 2 5" xfId="903"/>
    <cellStyle name="Обычный 4 4 3 3" xfId="904"/>
    <cellStyle name="Обычный 4 4 3 3 2" xfId="905"/>
    <cellStyle name="Обычный 4 4 3 3 2 2" xfId="906"/>
    <cellStyle name="Обычный 4 4 3 3 2 2 2" xfId="907"/>
    <cellStyle name="Обычный 4 4 3 3 2 3" xfId="908"/>
    <cellStyle name="Обычный 4 4 3 3 3" xfId="909"/>
    <cellStyle name="Обычный 4 4 3 3 3 2" xfId="910"/>
    <cellStyle name="Обычный 4 4 3 3 4" xfId="911"/>
    <cellStyle name="Обычный 4 4 3 4" xfId="912"/>
    <cellStyle name="Обычный 4 4 3 4 2" xfId="913"/>
    <cellStyle name="Обычный 4 4 3 4 2 2" xfId="914"/>
    <cellStyle name="Обычный 4 4 3 4 3" xfId="915"/>
    <cellStyle name="Обычный 4 4 3 5" xfId="916"/>
    <cellStyle name="Обычный 4 4 3 5 2" xfId="917"/>
    <cellStyle name="Обычный 4 4 3 6" xfId="918"/>
    <cellStyle name="Обычный 4 4 4" xfId="919"/>
    <cellStyle name="Обычный 4 4 4 2" xfId="920"/>
    <cellStyle name="Обычный 4 4 4 2 2" xfId="921"/>
    <cellStyle name="Обычный 4 4 4 2 2 2" xfId="922"/>
    <cellStyle name="Обычный 4 4 4 2 2 2 2" xfId="923"/>
    <cellStyle name="Обычный 4 4 4 2 2 3" xfId="924"/>
    <cellStyle name="Обычный 4 4 4 2 3" xfId="925"/>
    <cellStyle name="Обычный 4 4 4 2 3 2" xfId="926"/>
    <cellStyle name="Обычный 4 4 4 2 4" xfId="927"/>
    <cellStyle name="Обычный 4 4 4 3" xfId="928"/>
    <cellStyle name="Обычный 4 4 4 3 2" xfId="929"/>
    <cellStyle name="Обычный 4 4 4 3 2 2" xfId="930"/>
    <cellStyle name="Обычный 4 4 4 3 3" xfId="931"/>
    <cellStyle name="Обычный 4 4 4 4" xfId="932"/>
    <cellStyle name="Обычный 4 4 4 4 2" xfId="933"/>
    <cellStyle name="Обычный 4 4 4 5" xfId="934"/>
    <cellStyle name="Обычный 4 4 5" xfId="935"/>
    <cellStyle name="Обычный 4 4 5 2" xfId="936"/>
    <cellStyle name="Обычный 4 4 5 2 2" xfId="937"/>
    <cellStyle name="Обычный 4 4 5 2 2 2" xfId="938"/>
    <cellStyle name="Обычный 4 4 5 2 3" xfId="939"/>
    <cellStyle name="Обычный 4 4 5 3" xfId="940"/>
    <cellStyle name="Обычный 4 4 5 3 2" xfId="941"/>
    <cellStyle name="Обычный 4 4 5 4" xfId="942"/>
    <cellStyle name="Обычный 4 4 6" xfId="943"/>
    <cellStyle name="Обычный 4 4 6 2" xfId="944"/>
    <cellStyle name="Обычный 4 4 6 2 2" xfId="945"/>
    <cellStyle name="Обычный 4 4 6 3" xfId="946"/>
    <cellStyle name="Обычный 4 4 7" xfId="947"/>
    <cellStyle name="Обычный 4 4 7 2" xfId="948"/>
    <cellStyle name="Обычный 4 4 8" xfId="949"/>
    <cellStyle name="Обычный 4 5" xfId="950"/>
    <cellStyle name="Обычный 4 5 2" xfId="951"/>
    <cellStyle name="Обычный 4 5 2 2" xfId="952"/>
    <cellStyle name="Обычный 4 5 2 2 2" xfId="953"/>
    <cellStyle name="Обычный 4 5 2 2 2 2" xfId="954"/>
    <cellStyle name="Обычный 4 5 2 2 2 2 2" xfId="955"/>
    <cellStyle name="Обычный 4 5 2 2 2 2 2 2" xfId="956"/>
    <cellStyle name="Обычный 4 5 2 2 2 2 3" xfId="957"/>
    <cellStyle name="Обычный 4 5 2 2 2 3" xfId="958"/>
    <cellStyle name="Обычный 4 5 2 2 2 3 2" xfId="959"/>
    <cellStyle name="Обычный 4 5 2 2 2 4" xfId="960"/>
    <cellStyle name="Обычный 4 5 2 2 3" xfId="961"/>
    <cellStyle name="Обычный 4 5 2 2 3 2" xfId="962"/>
    <cellStyle name="Обычный 4 5 2 2 3 2 2" xfId="963"/>
    <cellStyle name="Обычный 4 5 2 2 3 3" xfId="964"/>
    <cellStyle name="Обычный 4 5 2 2 4" xfId="965"/>
    <cellStyle name="Обычный 4 5 2 2 4 2" xfId="966"/>
    <cellStyle name="Обычный 4 5 2 2 5" xfId="967"/>
    <cellStyle name="Обычный 4 5 2 3" xfId="968"/>
    <cellStyle name="Обычный 4 5 2 3 2" xfId="969"/>
    <cellStyle name="Обычный 4 5 2 3 2 2" xfId="970"/>
    <cellStyle name="Обычный 4 5 2 3 2 2 2" xfId="971"/>
    <cellStyle name="Обычный 4 5 2 3 2 3" xfId="972"/>
    <cellStyle name="Обычный 4 5 2 3 3" xfId="973"/>
    <cellStyle name="Обычный 4 5 2 3 3 2" xfId="974"/>
    <cellStyle name="Обычный 4 5 2 3 4" xfId="975"/>
    <cellStyle name="Обычный 4 5 2 4" xfId="976"/>
    <cellStyle name="Обычный 4 5 2 4 2" xfId="977"/>
    <cellStyle name="Обычный 4 5 2 4 2 2" xfId="978"/>
    <cellStyle name="Обычный 4 5 2 4 3" xfId="979"/>
    <cellStyle name="Обычный 4 5 2 5" xfId="980"/>
    <cellStyle name="Обычный 4 5 2 5 2" xfId="981"/>
    <cellStyle name="Обычный 4 5 2 6" xfId="982"/>
    <cellStyle name="Обычный 4 5 3" xfId="983"/>
    <cellStyle name="Обычный 4 5 3 2" xfId="984"/>
    <cellStyle name="Обычный 4 5 3 2 2" xfId="985"/>
    <cellStyle name="Обычный 4 5 3 2 2 2" xfId="986"/>
    <cellStyle name="Обычный 4 5 3 2 2 2 2" xfId="987"/>
    <cellStyle name="Обычный 4 5 3 2 2 3" xfId="988"/>
    <cellStyle name="Обычный 4 5 3 2 3" xfId="989"/>
    <cellStyle name="Обычный 4 5 3 2 3 2" xfId="990"/>
    <cellStyle name="Обычный 4 5 3 2 4" xfId="991"/>
    <cellStyle name="Обычный 4 5 3 3" xfId="992"/>
    <cellStyle name="Обычный 4 5 3 3 2" xfId="993"/>
    <cellStyle name="Обычный 4 5 3 3 2 2" xfId="994"/>
    <cellStyle name="Обычный 4 5 3 3 3" xfId="995"/>
    <cellStyle name="Обычный 4 5 3 4" xfId="996"/>
    <cellStyle name="Обычный 4 5 3 4 2" xfId="997"/>
    <cellStyle name="Обычный 4 5 3 5" xfId="998"/>
    <cellStyle name="Обычный 4 5 4" xfId="999"/>
    <cellStyle name="Обычный 4 5 4 2" xfId="1000"/>
    <cellStyle name="Обычный 4 5 4 2 2" xfId="1001"/>
    <cellStyle name="Обычный 4 5 4 2 2 2" xfId="1002"/>
    <cellStyle name="Обычный 4 5 4 2 3" xfId="1003"/>
    <cellStyle name="Обычный 4 5 4 3" xfId="1004"/>
    <cellStyle name="Обычный 4 5 4 3 2" xfId="1005"/>
    <cellStyle name="Обычный 4 5 4 4" xfId="1006"/>
    <cellStyle name="Обычный 4 5 5" xfId="1007"/>
    <cellStyle name="Обычный 4 5 5 2" xfId="1008"/>
    <cellStyle name="Обычный 4 5 5 2 2" xfId="1009"/>
    <cellStyle name="Обычный 4 5 5 3" xfId="1010"/>
    <cellStyle name="Обычный 4 5 6" xfId="1011"/>
    <cellStyle name="Обычный 4 5 6 2" xfId="1012"/>
    <cellStyle name="Обычный 4 5 7" xfId="1013"/>
    <cellStyle name="Обычный 4 6" xfId="1014"/>
    <cellStyle name="Обычный 4 6 2" xfId="1015"/>
    <cellStyle name="Обычный 4 6 2 2" xfId="1016"/>
    <cellStyle name="Обычный 4 6 2 2 2" xfId="1017"/>
    <cellStyle name="Обычный 4 6 2 2 2 2" xfId="1018"/>
    <cellStyle name="Обычный 4 6 2 2 2 2 2" xfId="1019"/>
    <cellStyle name="Обычный 4 6 2 2 2 3" xfId="1020"/>
    <cellStyle name="Обычный 4 6 2 2 3" xfId="1021"/>
    <cellStyle name="Обычный 4 6 2 2 3 2" xfId="1022"/>
    <cellStyle name="Обычный 4 6 2 2 4" xfId="1023"/>
    <cellStyle name="Обычный 4 6 2 3" xfId="1024"/>
    <cellStyle name="Обычный 4 6 2 3 2" xfId="1025"/>
    <cellStyle name="Обычный 4 6 2 3 2 2" xfId="1026"/>
    <cellStyle name="Обычный 4 6 2 3 3" xfId="1027"/>
    <cellStyle name="Обычный 4 6 2 4" xfId="1028"/>
    <cellStyle name="Обычный 4 6 2 4 2" xfId="1029"/>
    <cellStyle name="Обычный 4 6 2 5" xfId="1030"/>
    <cellStyle name="Обычный 4 6 3" xfId="1031"/>
    <cellStyle name="Обычный 4 6 3 2" xfId="1032"/>
    <cellStyle name="Обычный 4 6 3 2 2" xfId="1033"/>
    <cellStyle name="Обычный 4 6 3 2 2 2" xfId="1034"/>
    <cellStyle name="Обычный 4 6 3 2 3" xfId="1035"/>
    <cellStyle name="Обычный 4 6 3 3" xfId="1036"/>
    <cellStyle name="Обычный 4 6 3 3 2" xfId="1037"/>
    <cellStyle name="Обычный 4 6 3 4" xfId="1038"/>
    <cellStyle name="Обычный 4 6 4" xfId="1039"/>
    <cellStyle name="Обычный 4 6 4 2" xfId="1040"/>
    <cellStyle name="Обычный 4 6 4 2 2" xfId="1041"/>
    <cellStyle name="Обычный 4 6 4 3" xfId="1042"/>
    <cellStyle name="Обычный 4 6 5" xfId="1043"/>
    <cellStyle name="Обычный 4 6 5 2" xfId="1044"/>
    <cellStyle name="Обычный 4 6 6" xfId="1045"/>
    <cellStyle name="Обычный 4 7" xfId="1046"/>
    <cellStyle name="Обычный 4 7 2" xfId="1047"/>
    <cellStyle name="Обычный 4 7 2 2" xfId="1048"/>
    <cellStyle name="Обычный 4 7 2 2 2" xfId="1049"/>
    <cellStyle name="Обычный 4 7 2 2 2 2" xfId="1050"/>
    <cellStyle name="Обычный 4 7 2 2 3" xfId="1051"/>
    <cellStyle name="Обычный 4 7 2 3" xfId="1052"/>
    <cellStyle name="Обычный 4 7 2 3 2" xfId="1053"/>
    <cellStyle name="Обычный 4 7 2 4" xfId="1054"/>
    <cellStyle name="Обычный 4 7 3" xfId="1055"/>
    <cellStyle name="Обычный 4 7 3 2" xfId="1056"/>
    <cellStyle name="Обычный 4 7 3 2 2" xfId="1057"/>
    <cellStyle name="Обычный 4 7 3 3" xfId="1058"/>
    <cellStyle name="Обычный 4 7 4" xfId="1059"/>
    <cellStyle name="Обычный 4 7 4 2" xfId="1060"/>
    <cellStyle name="Обычный 4 7 5" xfId="1061"/>
    <cellStyle name="Обычный 4 8" xfId="1062"/>
    <cellStyle name="Обычный 4 8 2" xfId="1063"/>
    <cellStyle name="Обычный 4 8 2 2" xfId="1064"/>
    <cellStyle name="Обычный 4 8 2 2 2" xfId="1065"/>
    <cellStyle name="Обычный 4 8 2 3" xfId="1066"/>
    <cellStyle name="Обычный 4 8 3" xfId="1067"/>
    <cellStyle name="Обычный 4 8 3 2" xfId="1068"/>
    <cellStyle name="Обычный 4 8 4" xfId="1069"/>
    <cellStyle name="Обычный 4 9" xfId="1070"/>
    <cellStyle name="Обычный 4 9 2" xfId="1071"/>
    <cellStyle name="Обычный 4 9 2 2" xfId="1072"/>
    <cellStyle name="Обычный 4 9 3" xfId="1073"/>
    <cellStyle name="Обычный 5" xfId="1074"/>
    <cellStyle name="Обычный 5 10" xfId="1075"/>
    <cellStyle name="Обычный 5 10 2" xfId="1076"/>
    <cellStyle name="Обычный 5 11" xfId="1077"/>
    <cellStyle name="Обычный 5 2" xfId="1078"/>
    <cellStyle name="Обычный 5 2 10" xfId="1079"/>
    <cellStyle name="Обычный 5 2 2" xfId="1080"/>
    <cellStyle name="Обычный 5 2 2 2" xfId="1081"/>
    <cellStyle name="Обычный 5 2 2 2 2" xfId="1082"/>
    <cellStyle name="Обычный 5 2 2 2 2 2" xfId="1083"/>
    <cellStyle name="Обычный 5 2 2 2 2 2 2" xfId="1084"/>
    <cellStyle name="Обычный 5 2 2 2 2 2 2 2" xfId="1085"/>
    <cellStyle name="Обычный 5 2 2 2 2 2 2 2 2" xfId="1086"/>
    <cellStyle name="Обычный 5 2 2 2 2 2 2 2 2 2" xfId="1087"/>
    <cellStyle name="Обычный 5 2 2 2 2 2 2 2 2 2 2" xfId="1088"/>
    <cellStyle name="Обычный 5 2 2 2 2 2 2 2 2 3" xfId="1089"/>
    <cellStyle name="Обычный 5 2 2 2 2 2 2 2 3" xfId="1090"/>
    <cellStyle name="Обычный 5 2 2 2 2 2 2 2 3 2" xfId="1091"/>
    <cellStyle name="Обычный 5 2 2 2 2 2 2 2 4" xfId="1092"/>
    <cellStyle name="Обычный 5 2 2 2 2 2 2 3" xfId="1093"/>
    <cellStyle name="Обычный 5 2 2 2 2 2 2 3 2" xfId="1094"/>
    <cellStyle name="Обычный 5 2 2 2 2 2 2 3 2 2" xfId="1095"/>
    <cellStyle name="Обычный 5 2 2 2 2 2 2 3 3" xfId="1096"/>
    <cellStyle name="Обычный 5 2 2 2 2 2 2 4" xfId="1097"/>
    <cellStyle name="Обычный 5 2 2 2 2 2 2 4 2" xfId="1098"/>
    <cellStyle name="Обычный 5 2 2 2 2 2 2 5" xfId="1099"/>
    <cellStyle name="Обычный 5 2 2 2 2 2 3" xfId="1100"/>
    <cellStyle name="Обычный 5 2 2 2 2 2 3 2" xfId="1101"/>
    <cellStyle name="Обычный 5 2 2 2 2 2 3 2 2" xfId="1102"/>
    <cellStyle name="Обычный 5 2 2 2 2 2 3 2 2 2" xfId="1103"/>
    <cellStyle name="Обычный 5 2 2 2 2 2 3 2 3" xfId="1104"/>
    <cellStyle name="Обычный 5 2 2 2 2 2 3 3" xfId="1105"/>
    <cellStyle name="Обычный 5 2 2 2 2 2 3 3 2" xfId="1106"/>
    <cellStyle name="Обычный 5 2 2 2 2 2 3 4" xfId="1107"/>
    <cellStyle name="Обычный 5 2 2 2 2 2 4" xfId="1108"/>
    <cellStyle name="Обычный 5 2 2 2 2 2 4 2" xfId="1109"/>
    <cellStyle name="Обычный 5 2 2 2 2 2 4 2 2" xfId="1110"/>
    <cellStyle name="Обычный 5 2 2 2 2 2 4 3" xfId="1111"/>
    <cellStyle name="Обычный 5 2 2 2 2 2 5" xfId="1112"/>
    <cellStyle name="Обычный 5 2 2 2 2 2 5 2" xfId="1113"/>
    <cellStyle name="Обычный 5 2 2 2 2 2 6" xfId="1114"/>
    <cellStyle name="Обычный 5 2 2 2 2 3" xfId="1115"/>
    <cellStyle name="Обычный 5 2 2 2 2 3 2" xfId="1116"/>
    <cellStyle name="Обычный 5 2 2 2 2 3 2 2" xfId="1117"/>
    <cellStyle name="Обычный 5 2 2 2 2 3 2 2 2" xfId="1118"/>
    <cellStyle name="Обычный 5 2 2 2 2 3 2 2 2 2" xfId="1119"/>
    <cellStyle name="Обычный 5 2 2 2 2 3 2 2 3" xfId="1120"/>
    <cellStyle name="Обычный 5 2 2 2 2 3 2 3" xfId="1121"/>
    <cellStyle name="Обычный 5 2 2 2 2 3 2 3 2" xfId="1122"/>
    <cellStyle name="Обычный 5 2 2 2 2 3 2 4" xfId="1123"/>
    <cellStyle name="Обычный 5 2 2 2 2 3 3" xfId="1124"/>
    <cellStyle name="Обычный 5 2 2 2 2 3 3 2" xfId="1125"/>
    <cellStyle name="Обычный 5 2 2 2 2 3 3 2 2" xfId="1126"/>
    <cellStyle name="Обычный 5 2 2 2 2 3 3 3" xfId="1127"/>
    <cellStyle name="Обычный 5 2 2 2 2 3 4" xfId="1128"/>
    <cellStyle name="Обычный 5 2 2 2 2 3 4 2" xfId="1129"/>
    <cellStyle name="Обычный 5 2 2 2 2 3 5" xfId="1130"/>
    <cellStyle name="Обычный 5 2 2 2 2 4" xfId="1131"/>
    <cellStyle name="Обычный 5 2 2 2 2 4 2" xfId="1132"/>
    <cellStyle name="Обычный 5 2 2 2 2 4 2 2" xfId="1133"/>
    <cellStyle name="Обычный 5 2 2 2 2 4 2 2 2" xfId="1134"/>
    <cellStyle name="Обычный 5 2 2 2 2 4 2 3" xfId="1135"/>
    <cellStyle name="Обычный 5 2 2 2 2 4 3" xfId="1136"/>
    <cellStyle name="Обычный 5 2 2 2 2 4 3 2" xfId="1137"/>
    <cellStyle name="Обычный 5 2 2 2 2 4 4" xfId="1138"/>
    <cellStyle name="Обычный 5 2 2 2 2 5" xfId="1139"/>
    <cellStyle name="Обычный 5 2 2 2 2 5 2" xfId="1140"/>
    <cellStyle name="Обычный 5 2 2 2 2 5 2 2" xfId="1141"/>
    <cellStyle name="Обычный 5 2 2 2 2 5 3" xfId="1142"/>
    <cellStyle name="Обычный 5 2 2 2 2 6" xfId="1143"/>
    <cellStyle name="Обычный 5 2 2 2 2 6 2" xfId="1144"/>
    <cellStyle name="Обычный 5 2 2 2 2 7" xfId="1145"/>
    <cellStyle name="Обычный 5 2 2 2 3" xfId="1146"/>
    <cellStyle name="Обычный 5 2 2 2 3 2" xfId="1147"/>
    <cellStyle name="Обычный 5 2 2 2 3 2 2" xfId="1148"/>
    <cellStyle name="Обычный 5 2 2 2 3 2 2 2" xfId="1149"/>
    <cellStyle name="Обычный 5 2 2 2 3 2 2 2 2" xfId="1150"/>
    <cellStyle name="Обычный 5 2 2 2 3 2 2 2 2 2" xfId="1151"/>
    <cellStyle name="Обычный 5 2 2 2 3 2 2 2 3" xfId="1152"/>
    <cellStyle name="Обычный 5 2 2 2 3 2 2 3" xfId="1153"/>
    <cellStyle name="Обычный 5 2 2 2 3 2 2 3 2" xfId="1154"/>
    <cellStyle name="Обычный 5 2 2 2 3 2 2 4" xfId="1155"/>
    <cellStyle name="Обычный 5 2 2 2 3 2 3" xfId="1156"/>
    <cellStyle name="Обычный 5 2 2 2 3 2 3 2" xfId="1157"/>
    <cellStyle name="Обычный 5 2 2 2 3 2 3 2 2" xfId="1158"/>
    <cellStyle name="Обычный 5 2 2 2 3 2 3 3" xfId="1159"/>
    <cellStyle name="Обычный 5 2 2 2 3 2 4" xfId="1160"/>
    <cellStyle name="Обычный 5 2 2 2 3 2 4 2" xfId="1161"/>
    <cellStyle name="Обычный 5 2 2 2 3 2 5" xfId="1162"/>
    <cellStyle name="Обычный 5 2 2 2 3 3" xfId="1163"/>
    <cellStyle name="Обычный 5 2 2 2 3 3 2" xfId="1164"/>
    <cellStyle name="Обычный 5 2 2 2 3 3 2 2" xfId="1165"/>
    <cellStyle name="Обычный 5 2 2 2 3 3 2 2 2" xfId="1166"/>
    <cellStyle name="Обычный 5 2 2 2 3 3 2 3" xfId="1167"/>
    <cellStyle name="Обычный 5 2 2 2 3 3 3" xfId="1168"/>
    <cellStyle name="Обычный 5 2 2 2 3 3 3 2" xfId="1169"/>
    <cellStyle name="Обычный 5 2 2 2 3 3 4" xfId="1170"/>
    <cellStyle name="Обычный 5 2 2 2 3 4" xfId="1171"/>
    <cellStyle name="Обычный 5 2 2 2 3 4 2" xfId="1172"/>
    <cellStyle name="Обычный 5 2 2 2 3 4 2 2" xfId="1173"/>
    <cellStyle name="Обычный 5 2 2 2 3 4 3" xfId="1174"/>
    <cellStyle name="Обычный 5 2 2 2 3 5" xfId="1175"/>
    <cellStyle name="Обычный 5 2 2 2 3 5 2" xfId="1176"/>
    <cellStyle name="Обычный 5 2 2 2 3 6" xfId="1177"/>
    <cellStyle name="Обычный 5 2 2 2 4" xfId="1178"/>
    <cellStyle name="Обычный 5 2 2 2 4 2" xfId="1179"/>
    <cellStyle name="Обычный 5 2 2 2 4 2 2" xfId="1180"/>
    <cellStyle name="Обычный 5 2 2 2 4 2 2 2" xfId="1181"/>
    <cellStyle name="Обычный 5 2 2 2 4 2 2 2 2" xfId="1182"/>
    <cellStyle name="Обычный 5 2 2 2 4 2 2 3" xfId="1183"/>
    <cellStyle name="Обычный 5 2 2 2 4 2 3" xfId="1184"/>
    <cellStyle name="Обычный 5 2 2 2 4 2 3 2" xfId="1185"/>
    <cellStyle name="Обычный 5 2 2 2 4 2 4" xfId="1186"/>
    <cellStyle name="Обычный 5 2 2 2 4 3" xfId="1187"/>
    <cellStyle name="Обычный 5 2 2 2 4 3 2" xfId="1188"/>
    <cellStyle name="Обычный 5 2 2 2 4 3 2 2" xfId="1189"/>
    <cellStyle name="Обычный 5 2 2 2 4 3 3" xfId="1190"/>
    <cellStyle name="Обычный 5 2 2 2 4 4" xfId="1191"/>
    <cellStyle name="Обычный 5 2 2 2 4 4 2" xfId="1192"/>
    <cellStyle name="Обычный 5 2 2 2 4 5" xfId="1193"/>
    <cellStyle name="Обычный 5 2 2 2 5" xfId="1194"/>
    <cellStyle name="Обычный 5 2 2 2 5 2" xfId="1195"/>
    <cellStyle name="Обычный 5 2 2 2 5 2 2" xfId="1196"/>
    <cellStyle name="Обычный 5 2 2 2 5 2 2 2" xfId="1197"/>
    <cellStyle name="Обычный 5 2 2 2 5 2 3" xfId="1198"/>
    <cellStyle name="Обычный 5 2 2 2 5 3" xfId="1199"/>
    <cellStyle name="Обычный 5 2 2 2 5 3 2" xfId="1200"/>
    <cellStyle name="Обычный 5 2 2 2 5 4" xfId="1201"/>
    <cellStyle name="Обычный 5 2 2 2 6" xfId="1202"/>
    <cellStyle name="Обычный 5 2 2 2 6 2" xfId="1203"/>
    <cellStyle name="Обычный 5 2 2 2 6 2 2" xfId="1204"/>
    <cellStyle name="Обычный 5 2 2 2 6 3" xfId="1205"/>
    <cellStyle name="Обычный 5 2 2 2 7" xfId="1206"/>
    <cellStyle name="Обычный 5 2 2 2 7 2" xfId="1207"/>
    <cellStyle name="Обычный 5 2 2 2 8" xfId="1208"/>
    <cellStyle name="Обычный 5 2 2 3" xfId="1209"/>
    <cellStyle name="Обычный 5 2 2 3 2" xfId="1210"/>
    <cellStyle name="Обычный 5 2 2 3 2 2" xfId="1211"/>
    <cellStyle name="Обычный 5 2 2 3 2 2 2" xfId="1212"/>
    <cellStyle name="Обычный 5 2 2 3 2 2 2 2" xfId="1213"/>
    <cellStyle name="Обычный 5 2 2 3 2 2 2 2 2" xfId="1214"/>
    <cellStyle name="Обычный 5 2 2 3 2 2 2 2 2 2" xfId="1215"/>
    <cellStyle name="Обычный 5 2 2 3 2 2 2 2 3" xfId="1216"/>
    <cellStyle name="Обычный 5 2 2 3 2 2 2 3" xfId="1217"/>
    <cellStyle name="Обычный 5 2 2 3 2 2 2 3 2" xfId="1218"/>
    <cellStyle name="Обычный 5 2 2 3 2 2 2 4" xfId="1219"/>
    <cellStyle name="Обычный 5 2 2 3 2 2 3" xfId="1220"/>
    <cellStyle name="Обычный 5 2 2 3 2 2 3 2" xfId="1221"/>
    <cellStyle name="Обычный 5 2 2 3 2 2 3 2 2" xfId="1222"/>
    <cellStyle name="Обычный 5 2 2 3 2 2 3 3" xfId="1223"/>
    <cellStyle name="Обычный 5 2 2 3 2 2 4" xfId="1224"/>
    <cellStyle name="Обычный 5 2 2 3 2 2 4 2" xfId="1225"/>
    <cellStyle name="Обычный 5 2 2 3 2 2 5" xfId="1226"/>
    <cellStyle name="Обычный 5 2 2 3 2 3" xfId="1227"/>
    <cellStyle name="Обычный 5 2 2 3 2 3 2" xfId="1228"/>
    <cellStyle name="Обычный 5 2 2 3 2 3 2 2" xfId="1229"/>
    <cellStyle name="Обычный 5 2 2 3 2 3 2 2 2" xfId="1230"/>
    <cellStyle name="Обычный 5 2 2 3 2 3 2 3" xfId="1231"/>
    <cellStyle name="Обычный 5 2 2 3 2 3 3" xfId="1232"/>
    <cellStyle name="Обычный 5 2 2 3 2 3 3 2" xfId="1233"/>
    <cellStyle name="Обычный 5 2 2 3 2 3 4" xfId="1234"/>
    <cellStyle name="Обычный 5 2 2 3 2 4" xfId="1235"/>
    <cellStyle name="Обычный 5 2 2 3 2 4 2" xfId="1236"/>
    <cellStyle name="Обычный 5 2 2 3 2 4 2 2" xfId="1237"/>
    <cellStyle name="Обычный 5 2 2 3 2 4 3" xfId="1238"/>
    <cellStyle name="Обычный 5 2 2 3 2 5" xfId="1239"/>
    <cellStyle name="Обычный 5 2 2 3 2 5 2" xfId="1240"/>
    <cellStyle name="Обычный 5 2 2 3 2 6" xfId="1241"/>
    <cellStyle name="Обычный 5 2 2 3 3" xfId="1242"/>
    <cellStyle name="Обычный 5 2 2 3 3 2" xfId="1243"/>
    <cellStyle name="Обычный 5 2 2 3 3 2 2" xfId="1244"/>
    <cellStyle name="Обычный 5 2 2 3 3 2 2 2" xfId="1245"/>
    <cellStyle name="Обычный 5 2 2 3 3 2 2 2 2" xfId="1246"/>
    <cellStyle name="Обычный 5 2 2 3 3 2 2 3" xfId="1247"/>
    <cellStyle name="Обычный 5 2 2 3 3 2 3" xfId="1248"/>
    <cellStyle name="Обычный 5 2 2 3 3 2 3 2" xfId="1249"/>
    <cellStyle name="Обычный 5 2 2 3 3 2 4" xfId="1250"/>
    <cellStyle name="Обычный 5 2 2 3 3 3" xfId="1251"/>
    <cellStyle name="Обычный 5 2 2 3 3 3 2" xfId="1252"/>
    <cellStyle name="Обычный 5 2 2 3 3 3 2 2" xfId="1253"/>
    <cellStyle name="Обычный 5 2 2 3 3 3 3" xfId="1254"/>
    <cellStyle name="Обычный 5 2 2 3 3 4" xfId="1255"/>
    <cellStyle name="Обычный 5 2 2 3 3 4 2" xfId="1256"/>
    <cellStyle name="Обычный 5 2 2 3 3 5" xfId="1257"/>
    <cellStyle name="Обычный 5 2 2 3 4" xfId="1258"/>
    <cellStyle name="Обычный 5 2 2 3 4 2" xfId="1259"/>
    <cellStyle name="Обычный 5 2 2 3 4 2 2" xfId="1260"/>
    <cellStyle name="Обычный 5 2 2 3 4 2 2 2" xfId="1261"/>
    <cellStyle name="Обычный 5 2 2 3 4 2 3" xfId="1262"/>
    <cellStyle name="Обычный 5 2 2 3 4 3" xfId="1263"/>
    <cellStyle name="Обычный 5 2 2 3 4 3 2" xfId="1264"/>
    <cellStyle name="Обычный 5 2 2 3 4 4" xfId="1265"/>
    <cellStyle name="Обычный 5 2 2 3 5" xfId="1266"/>
    <cellStyle name="Обычный 5 2 2 3 5 2" xfId="1267"/>
    <cellStyle name="Обычный 5 2 2 3 5 2 2" xfId="1268"/>
    <cellStyle name="Обычный 5 2 2 3 5 3" xfId="1269"/>
    <cellStyle name="Обычный 5 2 2 3 6" xfId="1270"/>
    <cellStyle name="Обычный 5 2 2 3 6 2" xfId="1271"/>
    <cellStyle name="Обычный 5 2 2 3 7" xfId="1272"/>
    <cellStyle name="Обычный 5 2 2 4" xfId="1273"/>
    <cellStyle name="Обычный 5 2 2 4 2" xfId="1274"/>
    <cellStyle name="Обычный 5 2 2 4 2 2" xfId="1275"/>
    <cellStyle name="Обычный 5 2 2 4 2 2 2" xfId="1276"/>
    <cellStyle name="Обычный 5 2 2 4 2 2 2 2" xfId="1277"/>
    <cellStyle name="Обычный 5 2 2 4 2 2 2 2 2" xfId="1278"/>
    <cellStyle name="Обычный 5 2 2 4 2 2 2 3" xfId="1279"/>
    <cellStyle name="Обычный 5 2 2 4 2 2 3" xfId="1280"/>
    <cellStyle name="Обычный 5 2 2 4 2 2 3 2" xfId="1281"/>
    <cellStyle name="Обычный 5 2 2 4 2 2 4" xfId="1282"/>
    <cellStyle name="Обычный 5 2 2 4 2 3" xfId="1283"/>
    <cellStyle name="Обычный 5 2 2 4 2 3 2" xfId="1284"/>
    <cellStyle name="Обычный 5 2 2 4 2 3 2 2" xfId="1285"/>
    <cellStyle name="Обычный 5 2 2 4 2 3 3" xfId="1286"/>
    <cellStyle name="Обычный 5 2 2 4 2 4" xfId="1287"/>
    <cellStyle name="Обычный 5 2 2 4 2 4 2" xfId="1288"/>
    <cellStyle name="Обычный 5 2 2 4 2 5" xfId="1289"/>
    <cellStyle name="Обычный 5 2 2 4 3" xfId="1290"/>
    <cellStyle name="Обычный 5 2 2 4 3 2" xfId="1291"/>
    <cellStyle name="Обычный 5 2 2 4 3 2 2" xfId="1292"/>
    <cellStyle name="Обычный 5 2 2 4 3 2 2 2" xfId="1293"/>
    <cellStyle name="Обычный 5 2 2 4 3 2 3" xfId="1294"/>
    <cellStyle name="Обычный 5 2 2 4 3 3" xfId="1295"/>
    <cellStyle name="Обычный 5 2 2 4 3 3 2" xfId="1296"/>
    <cellStyle name="Обычный 5 2 2 4 3 4" xfId="1297"/>
    <cellStyle name="Обычный 5 2 2 4 4" xfId="1298"/>
    <cellStyle name="Обычный 5 2 2 4 4 2" xfId="1299"/>
    <cellStyle name="Обычный 5 2 2 4 4 2 2" xfId="1300"/>
    <cellStyle name="Обычный 5 2 2 4 4 3" xfId="1301"/>
    <cellStyle name="Обычный 5 2 2 4 5" xfId="1302"/>
    <cellStyle name="Обычный 5 2 2 4 5 2" xfId="1303"/>
    <cellStyle name="Обычный 5 2 2 4 6" xfId="1304"/>
    <cellStyle name="Обычный 5 2 2 5" xfId="1305"/>
    <cellStyle name="Обычный 5 2 2 5 2" xfId="1306"/>
    <cellStyle name="Обычный 5 2 2 5 2 2" xfId="1307"/>
    <cellStyle name="Обычный 5 2 2 5 2 2 2" xfId="1308"/>
    <cellStyle name="Обычный 5 2 2 5 2 2 2 2" xfId="1309"/>
    <cellStyle name="Обычный 5 2 2 5 2 2 3" xfId="1310"/>
    <cellStyle name="Обычный 5 2 2 5 2 3" xfId="1311"/>
    <cellStyle name="Обычный 5 2 2 5 2 3 2" xfId="1312"/>
    <cellStyle name="Обычный 5 2 2 5 2 4" xfId="1313"/>
    <cellStyle name="Обычный 5 2 2 5 3" xfId="1314"/>
    <cellStyle name="Обычный 5 2 2 5 3 2" xfId="1315"/>
    <cellStyle name="Обычный 5 2 2 5 3 2 2" xfId="1316"/>
    <cellStyle name="Обычный 5 2 2 5 3 3" xfId="1317"/>
    <cellStyle name="Обычный 5 2 2 5 4" xfId="1318"/>
    <cellStyle name="Обычный 5 2 2 5 4 2" xfId="1319"/>
    <cellStyle name="Обычный 5 2 2 5 5" xfId="1320"/>
    <cellStyle name="Обычный 5 2 2 6" xfId="1321"/>
    <cellStyle name="Обычный 5 2 2 6 2" xfId="1322"/>
    <cellStyle name="Обычный 5 2 2 6 2 2" xfId="1323"/>
    <cellStyle name="Обычный 5 2 2 6 2 2 2" xfId="1324"/>
    <cellStyle name="Обычный 5 2 2 6 2 3" xfId="1325"/>
    <cellStyle name="Обычный 5 2 2 6 3" xfId="1326"/>
    <cellStyle name="Обычный 5 2 2 6 3 2" xfId="1327"/>
    <cellStyle name="Обычный 5 2 2 6 4" xfId="1328"/>
    <cellStyle name="Обычный 5 2 2 7" xfId="1329"/>
    <cellStyle name="Обычный 5 2 2 7 2" xfId="1330"/>
    <cellStyle name="Обычный 5 2 2 7 2 2" xfId="1331"/>
    <cellStyle name="Обычный 5 2 2 7 3" xfId="1332"/>
    <cellStyle name="Обычный 5 2 2 8" xfId="1333"/>
    <cellStyle name="Обычный 5 2 2 8 2" xfId="1334"/>
    <cellStyle name="Обычный 5 2 2 9" xfId="1335"/>
    <cellStyle name="Обычный 5 2 3" xfId="1336"/>
    <cellStyle name="Обычный 5 2 3 2" xfId="1337"/>
    <cellStyle name="Обычный 5 2 3 2 2" xfId="1338"/>
    <cellStyle name="Обычный 5 2 3 2 2 2" xfId="1339"/>
    <cellStyle name="Обычный 5 2 3 2 2 2 2" xfId="1340"/>
    <cellStyle name="Обычный 5 2 3 2 2 2 2 2" xfId="1341"/>
    <cellStyle name="Обычный 5 2 3 2 2 2 2 2 2" xfId="1342"/>
    <cellStyle name="Обычный 5 2 3 2 2 2 2 2 2 2" xfId="1343"/>
    <cellStyle name="Обычный 5 2 3 2 2 2 2 2 3" xfId="1344"/>
    <cellStyle name="Обычный 5 2 3 2 2 2 2 3" xfId="1345"/>
    <cellStyle name="Обычный 5 2 3 2 2 2 2 3 2" xfId="1346"/>
    <cellStyle name="Обычный 5 2 3 2 2 2 2 4" xfId="1347"/>
    <cellStyle name="Обычный 5 2 3 2 2 2 3" xfId="1348"/>
    <cellStyle name="Обычный 5 2 3 2 2 2 3 2" xfId="1349"/>
    <cellStyle name="Обычный 5 2 3 2 2 2 3 2 2" xfId="1350"/>
    <cellStyle name="Обычный 5 2 3 2 2 2 3 3" xfId="1351"/>
    <cellStyle name="Обычный 5 2 3 2 2 2 4" xfId="1352"/>
    <cellStyle name="Обычный 5 2 3 2 2 2 4 2" xfId="1353"/>
    <cellStyle name="Обычный 5 2 3 2 2 2 5" xfId="1354"/>
    <cellStyle name="Обычный 5 2 3 2 2 3" xfId="1355"/>
    <cellStyle name="Обычный 5 2 3 2 2 3 2" xfId="1356"/>
    <cellStyle name="Обычный 5 2 3 2 2 3 2 2" xfId="1357"/>
    <cellStyle name="Обычный 5 2 3 2 2 3 2 2 2" xfId="1358"/>
    <cellStyle name="Обычный 5 2 3 2 2 3 2 3" xfId="1359"/>
    <cellStyle name="Обычный 5 2 3 2 2 3 3" xfId="1360"/>
    <cellStyle name="Обычный 5 2 3 2 2 3 3 2" xfId="1361"/>
    <cellStyle name="Обычный 5 2 3 2 2 3 4" xfId="1362"/>
    <cellStyle name="Обычный 5 2 3 2 2 4" xfId="1363"/>
    <cellStyle name="Обычный 5 2 3 2 2 4 2" xfId="1364"/>
    <cellStyle name="Обычный 5 2 3 2 2 4 2 2" xfId="1365"/>
    <cellStyle name="Обычный 5 2 3 2 2 4 3" xfId="1366"/>
    <cellStyle name="Обычный 5 2 3 2 2 5" xfId="1367"/>
    <cellStyle name="Обычный 5 2 3 2 2 5 2" xfId="1368"/>
    <cellStyle name="Обычный 5 2 3 2 2 6" xfId="1369"/>
    <cellStyle name="Обычный 5 2 3 2 3" xfId="1370"/>
    <cellStyle name="Обычный 5 2 3 2 3 2" xfId="1371"/>
    <cellStyle name="Обычный 5 2 3 2 3 2 2" xfId="1372"/>
    <cellStyle name="Обычный 5 2 3 2 3 2 2 2" xfId="1373"/>
    <cellStyle name="Обычный 5 2 3 2 3 2 2 2 2" xfId="1374"/>
    <cellStyle name="Обычный 5 2 3 2 3 2 2 3" xfId="1375"/>
    <cellStyle name="Обычный 5 2 3 2 3 2 3" xfId="1376"/>
    <cellStyle name="Обычный 5 2 3 2 3 2 3 2" xfId="1377"/>
    <cellStyle name="Обычный 5 2 3 2 3 2 4" xfId="1378"/>
    <cellStyle name="Обычный 5 2 3 2 3 3" xfId="1379"/>
    <cellStyle name="Обычный 5 2 3 2 3 3 2" xfId="1380"/>
    <cellStyle name="Обычный 5 2 3 2 3 3 2 2" xfId="1381"/>
    <cellStyle name="Обычный 5 2 3 2 3 3 3" xfId="1382"/>
    <cellStyle name="Обычный 5 2 3 2 3 4" xfId="1383"/>
    <cellStyle name="Обычный 5 2 3 2 3 4 2" xfId="1384"/>
    <cellStyle name="Обычный 5 2 3 2 3 5" xfId="1385"/>
    <cellStyle name="Обычный 5 2 3 2 4" xfId="1386"/>
    <cellStyle name="Обычный 5 2 3 2 4 2" xfId="1387"/>
    <cellStyle name="Обычный 5 2 3 2 4 2 2" xfId="1388"/>
    <cellStyle name="Обычный 5 2 3 2 4 2 2 2" xfId="1389"/>
    <cellStyle name="Обычный 5 2 3 2 4 2 3" xfId="1390"/>
    <cellStyle name="Обычный 5 2 3 2 4 3" xfId="1391"/>
    <cellStyle name="Обычный 5 2 3 2 4 3 2" xfId="1392"/>
    <cellStyle name="Обычный 5 2 3 2 4 4" xfId="1393"/>
    <cellStyle name="Обычный 5 2 3 2 5" xfId="1394"/>
    <cellStyle name="Обычный 5 2 3 2 5 2" xfId="1395"/>
    <cellStyle name="Обычный 5 2 3 2 5 2 2" xfId="1396"/>
    <cellStyle name="Обычный 5 2 3 2 5 3" xfId="1397"/>
    <cellStyle name="Обычный 5 2 3 2 6" xfId="1398"/>
    <cellStyle name="Обычный 5 2 3 2 6 2" xfId="1399"/>
    <cellStyle name="Обычный 5 2 3 2 7" xfId="1400"/>
    <cellStyle name="Обычный 5 2 3 3" xfId="1401"/>
    <cellStyle name="Обычный 5 2 3 3 2" xfId="1402"/>
    <cellStyle name="Обычный 5 2 3 3 2 2" xfId="1403"/>
    <cellStyle name="Обычный 5 2 3 3 2 2 2" xfId="1404"/>
    <cellStyle name="Обычный 5 2 3 3 2 2 2 2" xfId="1405"/>
    <cellStyle name="Обычный 5 2 3 3 2 2 2 2 2" xfId="1406"/>
    <cellStyle name="Обычный 5 2 3 3 2 2 2 3" xfId="1407"/>
    <cellStyle name="Обычный 5 2 3 3 2 2 3" xfId="1408"/>
    <cellStyle name="Обычный 5 2 3 3 2 2 3 2" xfId="1409"/>
    <cellStyle name="Обычный 5 2 3 3 2 2 4" xfId="1410"/>
    <cellStyle name="Обычный 5 2 3 3 2 3" xfId="1411"/>
    <cellStyle name="Обычный 5 2 3 3 2 3 2" xfId="1412"/>
    <cellStyle name="Обычный 5 2 3 3 2 3 2 2" xfId="1413"/>
    <cellStyle name="Обычный 5 2 3 3 2 3 3" xfId="1414"/>
    <cellStyle name="Обычный 5 2 3 3 2 4" xfId="1415"/>
    <cellStyle name="Обычный 5 2 3 3 2 4 2" xfId="1416"/>
    <cellStyle name="Обычный 5 2 3 3 2 5" xfId="1417"/>
    <cellStyle name="Обычный 5 2 3 3 3" xfId="1418"/>
    <cellStyle name="Обычный 5 2 3 3 3 2" xfId="1419"/>
    <cellStyle name="Обычный 5 2 3 3 3 2 2" xfId="1420"/>
    <cellStyle name="Обычный 5 2 3 3 3 2 2 2" xfId="1421"/>
    <cellStyle name="Обычный 5 2 3 3 3 2 3" xfId="1422"/>
    <cellStyle name="Обычный 5 2 3 3 3 3" xfId="1423"/>
    <cellStyle name="Обычный 5 2 3 3 3 3 2" xfId="1424"/>
    <cellStyle name="Обычный 5 2 3 3 3 4" xfId="1425"/>
    <cellStyle name="Обычный 5 2 3 3 4" xfId="1426"/>
    <cellStyle name="Обычный 5 2 3 3 4 2" xfId="1427"/>
    <cellStyle name="Обычный 5 2 3 3 4 2 2" xfId="1428"/>
    <cellStyle name="Обычный 5 2 3 3 4 3" xfId="1429"/>
    <cellStyle name="Обычный 5 2 3 3 5" xfId="1430"/>
    <cellStyle name="Обычный 5 2 3 3 5 2" xfId="1431"/>
    <cellStyle name="Обычный 5 2 3 3 6" xfId="1432"/>
    <cellStyle name="Обычный 5 2 3 4" xfId="1433"/>
    <cellStyle name="Обычный 5 2 3 4 2" xfId="1434"/>
    <cellStyle name="Обычный 5 2 3 4 2 2" xfId="1435"/>
    <cellStyle name="Обычный 5 2 3 4 2 2 2" xfId="1436"/>
    <cellStyle name="Обычный 5 2 3 4 2 2 2 2" xfId="1437"/>
    <cellStyle name="Обычный 5 2 3 4 2 2 3" xfId="1438"/>
    <cellStyle name="Обычный 5 2 3 4 2 3" xfId="1439"/>
    <cellStyle name="Обычный 5 2 3 4 2 3 2" xfId="1440"/>
    <cellStyle name="Обычный 5 2 3 4 2 4" xfId="1441"/>
    <cellStyle name="Обычный 5 2 3 4 3" xfId="1442"/>
    <cellStyle name="Обычный 5 2 3 4 3 2" xfId="1443"/>
    <cellStyle name="Обычный 5 2 3 4 3 2 2" xfId="1444"/>
    <cellStyle name="Обычный 5 2 3 4 3 3" xfId="1445"/>
    <cellStyle name="Обычный 5 2 3 4 4" xfId="1446"/>
    <cellStyle name="Обычный 5 2 3 4 4 2" xfId="1447"/>
    <cellStyle name="Обычный 5 2 3 4 5" xfId="1448"/>
    <cellStyle name="Обычный 5 2 3 5" xfId="1449"/>
    <cellStyle name="Обычный 5 2 3 5 2" xfId="1450"/>
    <cellStyle name="Обычный 5 2 3 5 2 2" xfId="1451"/>
    <cellStyle name="Обычный 5 2 3 5 2 2 2" xfId="1452"/>
    <cellStyle name="Обычный 5 2 3 5 2 3" xfId="1453"/>
    <cellStyle name="Обычный 5 2 3 5 3" xfId="1454"/>
    <cellStyle name="Обычный 5 2 3 5 3 2" xfId="1455"/>
    <cellStyle name="Обычный 5 2 3 5 4" xfId="1456"/>
    <cellStyle name="Обычный 5 2 3 6" xfId="1457"/>
    <cellStyle name="Обычный 5 2 3 6 2" xfId="1458"/>
    <cellStyle name="Обычный 5 2 3 6 2 2" xfId="1459"/>
    <cellStyle name="Обычный 5 2 3 6 3" xfId="1460"/>
    <cellStyle name="Обычный 5 2 3 7" xfId="1461"/>
    <cellStyle name="Обычный 5 2 3 7 2" xfId="1462"/>
    <cellStyle name="Обычный 5 2 3 8" xfId="1463"/>
    <cellStyle name="Обычный 5 2 4" xfId="1464"/>
    <cellStyle name="Обычный 5 2 4 2" xfId="1465"/>
    <cellStyle name="Обычный 5 2 4 2 2" xfId="1466"/>
    <cellStyle name="Обычный 5 2 4 2 2 2" xfId="1467"/>
    <cellStyle name="Обычный 5 2 4 2 2 2 2" xfId="1468"/>
    <cellStyle name="Обычный 5 2 4 2 2 2 2 2" xfId="1469"/>
    <cellStyle name="Обычный 5 2 4 2 2 2 2 2 2" xfId="1470"/>
    <cellStyle name="Обычный 5 2 4 2 2 2 2 3" xfId="1471"/>
    <cellStyle name="Обычный 5 2 4 2 2 2 3" xfId="1472"/>
    <cellStyle name="Обычный 5 2 4 2 2 2 3 2" xfId="1473"/>
    <cellStyle name="Обычный 5 2 4 2 2 2 4" xfId="1474"/>
    <cellStyle name="Обычный 5 2 4 2 2 3" xfId="1475"/>
    <cellStyle name="Обычный 5 2 4 2 2 3 2" xfId="1476"/>
    <cellStyle name="Обычный 5 2 4 2 2 3 2 2" xfId="1477"/>
    <cellStyle name="Обычный 5 2 4 2 2 3 3" xfId="1478"/>
    <cellStyle name="Обычный 5 2 4 2 2 4" xfId="1479"/>
    <cellStyle name="Обычный 5 2 4 2 2 4 2" xfId="1480"/>
    <cellStyle name="Обычный 5 2 4 2 2 5" xfId="1481"/>
    <cellStyle name="Обычный 5 2 4 2 3" xfId="1482"/>
    <cellStyle name="Обычный 5 2 4 2 3 2" xfId="1483"/>
    <cellStyle name="Обычный 5 2 4 2 3 2 2" xfId="1484"/>
    <cellStyle name="Обычный 5 2 4 2 3 2 2 2" xfId="1485"/>
    <cellStyle name="Обычный 5 2 4 2 3 2 3" xfId="1486"/>
    <cellStyle name="Обычный 5 2 4 2 3 3" xfId="1487"/>
    <cellStyle name="Обычный 5 2 4 2 3 3 2" xfId="1488"/>
    <cellStyle name="Обычный 5 2 4 2 3 4" xfId="1489"/>
    <cellStyle name="Обычный 5 2 4 2 4" xfId="1490"/>
    <cellStyle name="Обычный 5 2 4 2 4 2" xfId="1491"/>
    <cellStyle name="Обычный 5 2 4 2 4 2 2" xfId="1492"/>
    <cellStyle name="Обычный 5 2 4 2 4 3" xfId="1493"/>
    <cellStyle name="Обычный 5 2 4 2 5" xfId="1494"/>
    <cellStyle name="Обычный 5 2 4 2 5 2" xfId="1495"/>
    <cellStyle name="Обычный 5 2 4 2 6" xfId="1496"/>
    <cellStyle name="Обычный 5 2 4 3" xfId="1497"/>
    <cellStyle name="Обычный 5 2 4 3 2" xfId="1498"/>
    <cellStyle name="Обычный 5 2 4 3 2 2" xfId="1499"/>
    <cellStyle name="Обычный 5 2 4 3 2 2 2" xfId="1500"/>
    <cellStyle name="Обычный 5 2 4 3 2 2 2 2" xfId="1501"/>
    <cellStyle name="Обычный 5 2 4 3 2 2 3" xfId="1502"/>
    <cellStyle name="Обычный 5 2 4 3 2 3" xfId="1503"/>
    <cellStyle name="Обычный 5 2 4 3 2 3 2" xfId="1504"/>
    <cellStyle name="Обычный 5 2 4 3 2 4" xfId="1505"/>
    <cellStyle name="Обычный 5 2 4 3 3" xfId="1506"/>
    <cellStyle name="Обычный 5 2 4 3 3 2" xfId="1507"/>
    <cellStyle name="Обычный 5 2 4 3 3 2 2" xfId="1508"/>
    <cellStyle name="Обычный 5 2 4 3 3 3" xfId="1509"/>
    <cellStyle name="Обычный 5 2 4 3 4" xfId="1510"/>
    <cellStyle name="Обычный 5 2 4 3 4 2" xfId="1511"/>
    <cellStyle name="Обычный 5 2 4 3 5" xfId="1512"/>
    <cellStyle name="Обычный 5 2 4 4" xfId="1513"/>
    <cellStyle name="Обычный 5 2 4 4 2" xfId="1514"/>
    <cellStyle name="Обычный 5 2 4 4 2 2" xfId="1515"/>
    <cellStyle name="Обычный 5 2 4 4 2 2 2" xfId="1516"/>
    <cellStyle name="Обычный 5 2 4 4 2 3" xfId="1517"/>
    <cellStyle name="Обычный 5 2 4 4 3" xfId="1518"/>
    <cellStyle name="Обычный 5 2 4 4 3 2" xfId="1519"/>
    <cellStyle name="Обычный 5 2 4 4 4" xfId="1520"/>
    <cellStyle name="Обычный 5 2 4 5" xfId="1521"/>
    <cellStyle name="Обычный 5 2 4 5 2" xfId="1522"/>
    <cellStyle name="Обычный 5 2 4 5 2 2" xfId="1523"/>
    <cellStyle name="Обычный 5 2 4 5 3" xfId="1524"/>
    <cellStyle name="Обычный 5 2 4 6" xfId="1525"/>
    <cellStyle name="Обычный 5 2 4 6 2" xfId="1526"/>
    <cellStyle name="Обычный 5 2 4 7" xfId="1527"/>
    <cellStyle name="Обычный 5 2 5" xfId="1528"/>
    <cellStyle name="Обычный 5 2 5 2" xfId="1529"/>
    <cellStyle name="Обычный 5 2 5 2 2" xfId="1530"/>
    <cellStyle name="Обычный 5 2 5 2 2 2" xfId="1531"/>
    <cellStyle name="Обычный 5 2 5 2 2 2 2" xfId="1532"/>
    <cellStyle name="Обычный 5 2 5 2 2 2 2 2" xfId="1533"/>
    <cellStyle name="Обычный 5 2 5 2 2 2 3" xfId="1534"/>
    <cellStyle name="Обычный 5 2 5 2 2 3" xfId="1535"/>
    <cellStyle name="Обычный 5 2 5 2 2 3 2" xfId="1536"/>
    <cellStyle name="Обычный 5 2 5 2 2 4" xfId="1537"/>
    <cellStyle name="Обычный 5 2 5 2 3" xfId="1538"/>
    <cellStyle name="Обычный 5 2 5 2 3 2" xfId="1539"/>
    <cellStyle name="Обычный 5 2 5 2 3 2 2" xfId="1540"/>
    <cellStyle name="Обычный 5 2 5 2 3 3" xfId="1541"/>
    <cellStyle name="Обычный 5 2 5 2 4" xfId="1542"/>
    <cellStyle name="Обычный 5 2 5 2 4 2" xfId="1543"/>
    <cellStyle name="Обычный 5 2 5 2 5" xfId="1544"/>
    <cellStyle name="Обычный 5 2 5 3" xfId="1545"/>
    <cellStyle name="Обычный 5 2 5 3 2" xfId="1546"/>
    <cellStyle name="Обычный 5 2 5 3 2 2" xfId="1547"/>
    <cellStyle name="Обычный 5 2 5 3 2 2 2" xfId="1548"/>
    <cellStyle name="Обычный 5 2 5 3 2 3" xfId="1549"/>
    <cellStyle name="Обычный 5 2 5 3 3" xfId="1550"/>
    <cellStyle name="Обычный 5 2 5 3 3 2" xfId="1551"/>
    <cellStyle name="Обычный 5 2 5 3 4" xfId="1552"/>
    <cellStyle name="Обычный 5 2 5 4" xfId="1553"/>
    <cellStyle name="Обычный 5 2 5 4 2" xfId="1554"/>
    <cellStyle name="Обычный 5 2 5 4 2 2" xfId="1555"/>
    <cellStyle name="Обычный 5 2 5 4 3" xfId="1556"/>
    <cellStyle name="Обычный 5 2 5 5" xfId="1557"/>
    <cellStyle name="Обычный 5 2 5 5 2" xfId="1558"/>
    <cellStyle name="Обычный 5 2 5 6" xfId="1559"/>
    <cellStyle name="Обычный 5 2 6" xfId="1560"/>
    <cellStyle name="Обычный 5 2 6 2" xfId="1561"/>
    <cellStyle name="Обычный 5 2 6 2 2" xfId="1562"/>
    <cellStyle name="Обычный 5 2 6 2 2 2" xfId="1563"/>
    <cellStyle name="Обычный 5 2 6 2 2 2 2" xfId="1564"/>
    <cellStyle name="Обычный 5 2 6 2 2 3" xfId="1565"/>
    <cellStyle name="Обычный 5 2 6 2 3" xfId="1566"/>
    <cellStyle name="Обычный 5 2 6 2 3 2" xfId="1567"/>
    <cellStyle name="Обычный 5 2 6 2 4" xfId="1568"/>
    <cellStyle name="Обычный 5 2 6 3" xfId="1569"/>
    <cellStyle name="Обычный 5 2 6 3 2" xfId="1570"/>
    <cellStyle name="Обычный 5 2 6 3 2 2" xfId="1571"/>
    <cellStyle name="Обычный 5 2 6 3 3" xfId="1572"/>
    <cellStyle name="Обычный 5 2 6 4" xfId="1573"/>
    <cellStyle name="Обычный 5 2 6 4 2" xfId="1574"/>
    <cellStyle name="Обычный 5 2 6 5" xfId="1575"/>
    <cellStyle name="Обычный 5 2 7" xfId="1576"/>
    <cellStyle name="Обычный 5 2 7 2" xfId="1577"/>
    <cellStyle name="Обычный 5 2 7 2 2" xfId="1578"/>
    <cellStyle name="Обычный 5 2 7 2 2 2" xfId="1579"/>
    <cellStyle name="Обычный 5 2 7 2 3" xfId="1580"/>
    <cellStyle name="Обычный 5 2 7 3" xfId="1581"/>
    <cellStyle name="Обычный 5 2 7 3 2" xfId="1582"/>
    <cellStyle name="Обычный 5 2 7 4" xfId="1583"/>
    <cellStyle name="Обычный 5 2 8" xfId="1584"/>
    <cellStyle name="Обычный 5 2 8 2" xfId="1585"/>
    <cellStyle name="Обычный 5 2 8 2 2" xfId="1586"/>
    <cellStyle name="Обычный 5 2 8 3" xfId="1587"/>
    <cellStyle name="Обычный 5 2 9" xfId="1588"/>
    <cellStyle name="Обычный 5 2 9 2" xfId="1589"/>
    <cellStyle name="Обычный 5 3" xfId="1590"/>
    <cellStyle name="Обычный 5 3 2" xfId="1591"/>
    <cellStyle name="Обычный 5 3 2 2" xfId="1592"/>
    <cellStyle name="Обычный 5 3 2 2 2" xfId="1593"/>
    <cellStyle name="Обычный 5 3 2 2 2 2" xfId="1594"/>
    <cellStyle name="Обычный 5 3 2 2 2 2 2" xfId="1595"/>
    <cellStyle name="Обычный 5 3 2 2 2 2 2 2" xfId="1596"/>
    <cellStyle name="Обычный 5 3 2 2 2 2 2 2 2" xfId="1597"/>
    <cellStyle name="Обычный 5 3 2 2 2 2 2 2 2 2" xfId="1598"/>
    <cellStyle name="Обычный 5 3 2 2 2 2 2 2 3" xfId="1599"/>
    <cellStyle name="Обычный 5 3 2 2 2 2 2 3" xfId="1600"/>
    <cellStyle name="Обычный 5 3 2 2 2 2 2 3 2" xfId="1601"/>
    <cellStyle name="Обычный 5 3 2 2 2 2 2 4" xfId="1602"/>
    <cellStyle name="Обычный 5 3 2 2 2 2 3" xfId="1603"/>
    <cellStyle name="Обычный 5 3 2 2 2 2 3 2" xfId="1604"/>
    <cellStyle name="Обычный 5 3 2 2 2 2 3 2 2" xfId="1605"/>
    <cellStyle name="Обычный 5 3 2 2 2 2 3 3" xfId="1606"/>
    <cellStyle name="Обычный 5 3 2 2 2 2 4" xfId="1607"/>
    <cellStyle name="Обычный 5 3 2 2 2 2 4 2" xfId="1608"/>
    <cellStyle name="Обычный 5 3 2 2 2 2 5" xfId="1609"/>
    <cellStyle name="Обычный 5 3 2 2 2 3" xfId="1610"/>
    <cellStyle name="Обычный 5 3 2 2 2 3 2" xfId="1611"/>
    <cellStyle name="Обычный 5 3 2 2 2 3 2 2" xfId="1612"/>
    <cellStyle name="Обычный 5 3 2 2 2 3 2 2 2" xfId="1613"/>
    <cellStyle name="Обычный 5 3 2 2 2 3 2 3" xfId="1614"/>
    <cellStyle name="Обычный 5 3 2 2 2 3 3" xfId="1615"/>
    <cellStyle name="Обычный 5 3 2 2 2 3 3 2" xfId="1616"/>
    <cellStyle name="Обычный 5 3 2 2 2 3 4" xfId="1617"/>
    <cellStyle name="Обычный 5 3 2 2 2 4" xfId="1618"/>
    <cellStyle name="Обычный 5 3 2 2 2 4 2" xfId="1619"/>
    <cellStyle name="Обычный 5 3 2 2 2 4 2 2" xfId="1620"/>
    <cellStyle name="Обычный 5 3 2 2 2 4 3" xfId="1621"/>
    <cellStyle name="Обычный 5 3 2 2 2 5" xfId="1622"/>
    <cellStyle name="Обычный 5 3 2 2 2 5 2" xfId="1623"/>
    <cellStyle name="Обычный 5 3 2 2 2 6" xfId="1624"/>
    <cellStyle name="Обычный 5 3 2 2 3" xfId="1625"/>
    <cellStyle name="Обычный 5 3 2 2 3 2" xfId="1626"/>
    <cellStyle name="Обычный 5 3 2 2 3 2 2" xfId="1627"/>
    <cellStyle name="Обычный 5 3 2 2 3 2 2 2" xfId="1628"/>
    <cellStyle name="Обычный 5 3 2 2 3 2 2 2 2" xfId="1629"/>
    <cellStyle name="Обычный 5 3 2 2 3 2 2 3" xfId="1630"/>
    <cellStyle name="Обычный 5 3 2 2 3 2 3" xfId="1631"/>
    <cellStyle name="Обычный 5 3 2 2 3 2 3 2" xfId="1632"/>
    <cellStyle name="Обычный 5 3 2 2 3 2 4" xfId="1633"/>
    <cellStyle name="Обычный 5 3 2 2 3 3" xfId="1634"/>
    <cellStyle name="Обычный 5 3 2 2 3 3 2" xfId="1635"/>
    <cellStyle name="Обычный 5 3 2 2 3 3 2 2" xfId="1636"/>
    <cellStyle name="Обычный 5 3 2 2 3 3 3" xfId="1637"/>
    <cellStyle name="Обычный 5 3 2 2 3 4" xfId="1638"/>
    <cellStyle name="Обычный 5 3 2 2 3 4 2" xfId="1639"/>
    <cellStyle name="Обычный 5 3 2 2 3 5" xfId="1640"/>
    <cellStyle name="Обычный 5 3 2 2 4" xfId="1641"/>
    <cellStyle name="Обычный 5 3 2 2 4 2" xfId="1642"/>
    <cellStyle name="Обычный 5 3 2 2 4 2 2" xfId="1643"/>
    <cellStyle name="Обычный 5 3 2 2 4 2 2 2" xfId="1644"/>
    <cellStyle name="Обычный 5 3 2 2 4 2 3" xfId="1645"/>
    <cellStyle name="Обычный 5 3 2 2 4 3" xfId="1646"/>
    <cellStyle name="Обычный 5 3 2 2 4 3 2" xfId="1647"/>
    <cellStyle name="Обычный 5 3 2 2 4 4" xfId="1648"/>
    <cellStyle name="Обычный 5 3 2 2 5" xfId="1649"/>
    <cellStyle name="Обычный 5 3 2 2 5 2" xfId="1650"/>
    <cellStyle name="Обычный 5 3 2 2 5 2 2" xfId="1651"/>
    <cellStyle name="Обычный 5 3 2 2 5 3" xfId="1652"/>
    <cellStyle name="Обычный 5 3 2 2 6" xfId="1653"/>
    <cellStyle name="Обычный 5 3 2 2 6 2" xfId="1654"/>
    <cellStyle name="Обычный 5 3 2 2 7" xfId="1655"/>
    <cellStyle name="Обычный 5 3 2 3" xfId="1656"/>
    <cellStyle name="Обычный 5 3 2 3 2" xfId="1657"/>
    <cellStyle name="Обычный 5 3 2 3 2 2" xfId="1658"/>
    <cellStyle name="Обычный 5 3 2 3 2 2 2" xfId="1659"/>
    <cellStyle name="Обычный 5 3 2 3 2 2 2 2" xfId="1660"/>
    <cellStyle name="Обычный 5 3 2 3 2 2 2 2 2" xfId="1661"/>
    <cellStyle name="Обычный 5 3 2 3 2 2 2 3" xfId="1662"/>
    <cellStyle name="Обычный 5 3 2 3 2 2 3" xfId="1663"/>
    <cellStyle name="Обычный 5 3 2 3 2 2 3 2" xfId="1664"/>
    <cellStyle name="Обычный 5 3 2 3 2 2 4" xfId="1665"/>
    <cellStyle name="Обычный 5 3 2 3 2 3" xfId="1666"/>
    <cellStyle name="Обычный 5 3 2 3 2 3 2" xfId="1667"/>
    <cellStyle name="Обычный 5 3 2 3 2 3 2 2" xfId="1668"/>
    <cellStyle name="Обычный 5 3 2 3 2 3 3" xfId="1669"/>
    <cellStyle name="Обычный 5 3 2 3 2 4" xfId="1670"/>
    <cellStyle name="Обычный 5 3 2 3 2 4 2" xfId="1671"/>
    <cellStyle name="Обычный 5 3 2 3 2 5" xfId="1672"/>
    <cellStyle name="Обычный 5 3 2 3 3" xfId="1673"/>
    <cellStyle name="Обычный 5 3 2 3 3 2" xfId="1674"/>
    <cellStyle name="Обычный 5 3 2 3 3 2 2" xfId="1675"/>
    <cellStyle name="Обычный 5 3 2 3 3 2 2 2" xfId="1676"/>
    <cellStyle name="Обычный 5 3 2 3 3 2 3" xfId="1677"/>
    <cellStyle name="Обычный 5 3 2 3 3 3" xfId="1678"/>
    <cellStyle name="Обычный 5 3 2 3 3 3 2" xfId="1679"/>
    <cellStyle name="Обычный 5 3 2 3 3 4" xfId="1680"/>
    <cellStyle name="Обычный 5 3 2 3 4" xfId="1681"/>
    <cellStyle name="Обычный 5 3 2 3 4 2" xfId="1682"/>
    <cellStyle name="Обычный 5 3 2 3 4 2 2" xfId="1683"/>
    <cellStyle name="Обычный 5 3 2 3 4 3" xfId="1684"/>
    <cellStyle name="Обычный 5 3 2 3 5" xfId="1685"/>
    <cellStyle name="Обычный 5 3 2 3 5 2" xfId="1686"/>
    <cellStyle name="Обычный 5 3 2 3 6" xfId="1687"/>
    <cellStyle name="Обычный 5 3 2 4" xfId="1688"/>
    <cellStyle name="Обычный 5 3 2 4 2" xfId="1689"/>
    <cellStyle name="Обычный 5 3 2 4 2 2" xfId="1690"/>
    <cellStyle name="Обычный 5 3 2 4 2 2 2" xfId="1691"/>
    <cellStyle name="Обычный 5 3 2 4 2 2 2 2" xfId="1692"/>
    <cellStyle name="Обычный 5 3 2 4 2 2 3" xfId="1693"/>
    <cellStyle name="Обычный 5 3 2 4 2 3" xfId="1694"/>
    <cellStyle name="Обычный 5 3 2 4 2 3 2" xfId="1695"/>
    <cellStyle name="Обычный 5 3 2 4 2 4" xfId="1696"/>
    <cellStyle name="Обычный 5 3 2 4 3" xfId="1697"/>
    <cellStyle name="Обычный 5 3 2 4 3 2" xfId="1698"/>
    <cellStyle name="Обычный 5 3 2 4 3 2 2" xfId="1699"/>
    <cellStyle name="Обычный 5 3 2 4 3 3" xfId="1700"/>
    <cellStyle name="Обычный 5 3 2 4 4" xfId="1701"/>
    <cellStyle name="Обычный 5 3 2 4 4 2" xfId="1702"/>
    <cellStyle name="Обычный 5 3 2 4 5" xfId="1703"/>
    <cellStyle name="Обычный 5 3 2 5" xfId="1704"/>
    <cellStyle name="Обычный 5 3 2 5 2" xfId="1705"/>
    <cellStyle name="Обычный 5 3 2 5 2 2" xfId="1706"/>
    <cellStyle name="Обычный 5 3 2 5 2 2 2" xfId="1707"/>
    <cellStyle name="Обычный 5 3 2 5 2 3" xfId="1708"/>
    <cellStyle name="Обычный 5 3 2 5 3" xfId="1709"/>
    <cellStyle name="Обычный 5 3 2 5 3 2" xfId="1710"/>
    <cellStyle name="Обычный 5 3 2 5 4" xfId="1711"/>
    <cellStyle name="Обычный 5 3 2 6" xfId="1712"/>
    <cellStyle name="Обычный 5 3 2 6 2" xfId="1713"/>
    <cellStyle name="Обычный 5 3 2 6 2 2" xfId="1714"/>
    <cellStyle name="Обычный 5 3 2 6 3" xfId="1715"/>
    <cellStyle name="Обычный 5 3 2 7" xfId="1716"/>
    <cellStyle name="Обычный 5 3 2 7 2" xfId="1717"/>
    <cellStyle name="Обычный 5 3 2 8" xfId="1718"/>
    <cellStyle name="Обычный 5 3 3" xfId="1719"/>
    <cellStyle name="Обычный 5 3 3 2" xfId="1720"/>
    <cellStyle name="Обычный 5 3 3 2 2" xfId="1721"/>
    <cellStyle name="Обычный 5 3 3 2 2 2" xfId="1722"/>
    <cellStyle name="Обычный 5 3 3 2 2 2 2" xfId="1723"/>
    <cellStyle name="Обычный 5 3 3 2 2 2 2 2" xfId="1724"/>
    <cellStyle name="Обычный 5 3 3 2 2 2 2 2 2" xfId="1725"/>
    <cellStyle name="Обычный 5 3 3 2 2 2 2 3" xfId="1726"/>
    <cellStyle name="Обычный 5 3 3 2 2 2 3" xfId="1727"/>
    <cellStyle name="Обычный 5 3 3 2 2 2 3 2" xfId="1728"/>
    <cellStyle name="Обычный 5 3 3 2 2 2 4" xfId="1729"/>
    <cellStyle name="Обычный 5 3 3 2 2 3" xfId="1730"/>
    <cellStyle name="Обычный 5 3 3 2 2 3 2" xfId="1731"/>
    <cellStyle name="Обычный 5 3 3 2 2 3 2 2" xfId="1732"/>
    <cellStyle name="Обычный 5 3 3 2 2 3 3" xfId="1733"/>
    <cellStyle name="Обычный 5 3 3 2 2 4" xfId="1734"/>
    <cellStyle name="Обычный 5 3 3 2 2 4 2" xfId="1735"/>
    <cellStyle name="Обычный 5 3 3 2 2 5" xfId="1736"/>
    <cellStyle name="Обычный 5 3 3 2 3" xfId="1737"/>
    <cellStyle name="Обычный 5 3 3 2 3 2" xfId="1738"/>
    <cellStyle name="Обычный 5 3 3 2 3 2 2" xfId="1739"/>
    <cellStyle name="Обычный 5 3 3 2 3 2 2 2" xfId="1740"/>
    <cellStyle name="Обычный 5 3 3 2 3 2 3" xfId="1741"/>
    <cellStyle name="Обычный 5 3 3 2 3 3" xfId="1742"/>
    <cellStyle name="Обычный 5 3 3 2 3 3 2" xfId="1743"/>
    <cellStyle name="Обычный 5 3 3 2 3 4" xfId="1744"/>
    <cellStyle name="Обычный 5 3 3 2 4" xfId="1745"/>
    <cellStyle name="Обычный 5 3 3 2 4 2" xfId="1746"/>
    <cellStyle name="Обычный 5 3 3 2 4 2 2" xfId="1747"/>
    <cellStyle name="Обычный 5 3 3 2 4 3" xfId="1748"/>
    <cellStyle name="Обычный 5 3 3 2 5" xfId="1749"/>
    <cellStyle name="Обычный 5 3 3 2 5 2" xfId="1750"/>
    <cellStyle name="Обычный 5 3 3 2 6" xfId="1751"/>
    <cellStyle name="Обычный 5 3 3 3" xfId="1752"/>
    <cellStyle name="Обычный 5 3 3 3 2" xfId="1753"/>
    <cellStyle name="Обычный 5 3 3 3 2 2" xfId="1754"/>
    <cellStyle name="Обычный 5 3 3 3 2 2 2" xfId="1755"/>
    <cellStyle name="Обычный 5 3 3 3 2 2 2 2" xfId="1756"/>
    <cellStyle name="Обычный 5 3 3 3 2 2 3" xfId="1757"/>
    <cellStyle name="Обычный 5 3 3 3 2 3" xfId="1758"/>
    <cellStyle name="Обычный 5 3 3 3 2 3 2" xfId="1759"/>
    <cellStyle name="Обычный 5 3 3 3 2 4" xfId="1760"/>
    <cellStyle name="Обычный 5 3 3 3 3" xfId="1761"/>
    <cellStyle name="Обычный 5 3 3 3 3 2" xfId="1762"/>
    <cellStyle name="Обычный 5 3 3 3 3 2 2" xfId="1763"/>
    <cellStyle name="Обычный 5 3 3 3 3 3" xfId="1764"/>
    <cellStyle name="Обычный 5 3 3 3 4" xfId="1765"/>
    <cellStyle name="Обычный 5 3 3 3 4 2" xfId="1766"/>
    <cellStyle name="Обычный 5 3 3 3 5" xfId="1767"/>
    <cellStyle name="Обычный 5 3 3 4" xfId="1768"/>
    <cellStyle name="Обычный 5 3 3 4 2" xfId="1769"/>
    <cellStyle name="Обычный 5 3 3 4 2 2" xfId="1770"/>
    <cellStyle name="Обычный 5 3 3 4 2 2 2" xfId="1771"/>
    <cellStyle name="Обычный 5 3 3 4 2 3" xfId="1772"/>
    <cellStyle name="Обычный 5 3 3 4 3" xfId="1773"/>
    <cellStyle name="Обычный 5 3 3 4 3 2" xfId="1774"/>
    <cellStyle name="Обычный 5 3 3 4 4" xfId="1775"/>
    <cellStyle name="Обычный 5 3 3 5" xfId="1776"/>
    <cellStyle name="Обычный 5 3 3 5 2" xfId="1777"/>
    <cellStyle name="Обычный 5 3 3 5 2 2" xfId="1778"/>
    <cellStyle name="Обычный 5 3 3 5 3" xfId="1779"/>
    <cellStyle name="Обычный 5 3 3 6" xfId="1780"/>
    <cellStyle name="Обычный 5 3 3 6 2" xfId="1781"/>
    <cellStyle name="Обычный 5 3 3 7" xfId="1782"/>
    <cellStyle name="Обычный 5 3 4" xfId="1783"/>
    <cellStyle name="Обычный 5 3 4 2" xfId="1784"/>
    <cellStyle name="Обычный 5 3 4 2 2" xfId="1785"/>
    <cellStyle name="Обычный 5 3 4 2 2 2" xfId="1786"/>
    <cellStyle name="Обычный 5 3 4 2 2 2 2" xfId="1787"/>
    <cellStyle name="Обычный 5 3 4 2 2 2 2 2" xfId="1788"/>
    <cellStyle name="Обычный 5 3 4 2 2 2 3" xfId="1789"/>
    <cellStyle name="Обычный 5 3 4 2 2 3" xfId="1790"/>
    <cellStyle name="Обычный 5 3 4 2 2 3 2" xfId="1791"/>
    <cellStyle name="Обычный 5 3 4 2 2 4" xfId="1792"/>
    <cellStyle name="Обычный 5 3 4 2 3" xfId="1793"/>
    <cellStyle name="Обычный 5 3 4 2 3 2" xfId="1794"/>
    <cellStyle name="Обычный 5 3 4 2 3 2 2" xfId="1795"/>
    <cellStyle name="Обычный 5 3 4 2 3 3" xfId="1796"/>
    <cellStyle name="Обычный 5 3 4 2 4" xfId="1797"/>
    <cellStyle name="Обычный 5 3 4 2 4 2" xfId="1798"/>
    <cellStyle name="Обычный 5 3 4 2 5" xfId="1799"/>
    <cellStyle name="Обычный 5 3 4 3" xfId="1800"/>
    <cellStyle name="Обычный 5 3 4 3 2" xfId="1801"/>
    <cellStyle name="Обычный 5 3 4 3 2 2" xfId="1802"/>
    <cellStyle name="Обычный 5 3 4 3 2 2 2" xfId="1803"/>
    <cellStyle name="Обычный 5 3 4 3 2 3" xfId="1804"/>
    <cellStyle name="Обычный 5 3 4 3 3" xfId="1805"/>
    <cellStyle name="Обычный 5 3 4 3 3 2" xfId="1806"/>
    <cellStyle name="Обычный 5 3 4 3 4" xfId="1807"/>
    <cellStyle name="Обычный 5 3 4 4" xfId="1808"/>
    <cellStyle name="Обычный 5 3 4 4 2" xfId="1809"/>
    <cellStyle name="Обычный 5 3 4 4 2 2" xfId="1810"/>
    <cellStyle name="Обычный 5 3 4 4 3" xfId="1811"/>
    <cellStyle name="Обычный 5 3 4 5" xfId="1812"/>
    <cellStyle name="Обычный 5 3 4 5 2" xfId="1813"/>
    <cellStyle name="Обычный 5 3 4 6" xfId="1814"/>
    <cellStyle name="Обычный 5 3 5" xfId="1815"/>
    <cellStyle name="Обычный 5 3 5 2" xfId="1816"/>
    <cellStyle name="Обычный 5 3 5 2 2" xfId="1817"/>
    <cellStyle name="Обычный 5 3 5 2 2 2" xfId="1818"/>
    <cellStyle name="Обычный 5 3 5 2 2 2 2" xfId="1819"/>
    <cellStyle name="Обычный 5 3 5 2 2 3" xfId="1820"/>
    <cellStyle name="Обычный 5 3 5 2 3" xfId="1821"/>
    <cellStyle name="Обычный 5 3 5 2 3 2" xfId="1822"/>
    <cellStyle name="Обычный 5 3 5 2 4" xfId="1823"/>
    <cellStyle name="Обычный 5 3 5 3" xfId="1824"/>
    <cellStyle name="Обычный 5 3 5 3 2" xfId="1825"/>
    <cellStyle name="Обычный 5 3 5 3 2 2" xfId="1826"/>
    <cellStyle name="Обычный 5 3 5 3 3" xfId="1827"/>
    <cellStyle name="Обычный 5 3 5 4" xfId="1828"/>
    <cellStyle name="Обычный 5 3 5 4 2" xfId="1829"/>
    <cellStyle name="Обычный 5 3 5 5" xfId="1830"/>
    <cellStyle name="Обычный 5 3 6" xfId="1831"/>
    <cellStyle name="Обычный 5 3 6 2" xfId="1832"/>
    <cellStyle name="Обычный 5 3 6 2 2" xfId="1833"/>
    <cellStyle name="Обычный 5 3 6 2 2 2" xfId="1834"/>
    <cellStyle name="Обычный 5 3 6 2 3" xfId="1835"/>
    <cellStyle name="Обычный 5 3 6 3" xfId="1836"/>
    <cellStyle name="Обычный 5 3 6 3 2" xfId="1837"/>
    <cellStyle name="Обычный 5 3 6 4" xfId="1838"/>
    <cellStyle name="Обычный 5 3 7" xfId="1839"/>
    <cellStyle name="Обычный 5 3 7 2" xfId="1840"/>
    <cellStyle name="Обычный 5 3 7 2 2" xfId="1841"/>
    <cellStyle name="Обычный 5 3 7 3" xfId="1842"/>
    <cellStyle name="Обычный 5 3 8" xfId="1843"/>
    <cellStyle name="Обычный 5 3 8 2" xfId="1844"/>
    <cellStyle name="Обычный 5 3 9" xfId="1845"/>
    <cellStyle name="Обычный 5 4" xfId="1846"/>
    <cellStyle name="Обычный 5 4 2" xfId="1847"/>
    <cellStyle name="Обычный 5 4 2 2" xfId="1848"/>
    <cellStyle name="Обычный 5 4 2 2 2" xfId="1849"/>
    <cellStyle name="Обычный 5 4 2 2 2 2" xfId="1850"/>
    <cellStyle name="Обычный 5 4 2 2 2 2 2" xfId="1851"/>
    <cellStyle name="Обычный 5 4 2 2 2 2 2 2" xfId="1852"/>
    <cellStyle name="Обычный 5 4 2 2 2 2 2 2 2" xfId="1853"/>
    <cellStyle name="Обычный 5 4 2 2 2 2 2 3" xfId="1854"/>
    <cellStyle name="Обычный 5 4 2 2 2 2 3" xfId="1855"/>
    <cellStyle name="Обычный 5 4 2 2 2 2 3 2" xfId="1856"/>
    <cellStyle name="Обычный 5 4 2 2 2 2 4" xfId="1857"/>
    <cellStyle name="Обычный 5 4 2 2 2 3" xfId="1858"/>
    <cellStyle name="Обычный 5 4 2 2 2 3 2" xfId="1859"/>
    <cellStyle name="Обычный 5 4 2 2 2 3 2 2" xfId="1860"/>
    <cellStyle name="Обычный 5 4 2 2 2 3 3" xfId="1861"/>
    <cellStyle name="Обычный 5 4 2 2 2 4" xfId="1862"/>
    <cellStyle name="Обычный 5 4 2 2 2 4 2" xfId="1863"/>
    <cellStyle name="Обычный 5 4 2 2 2 5" xfId="1864"/>
    <cellStyle name="Обычный 5 4 2 2 3" xfId="1865"/>
    <cellStyle name="Обычный 5 4 2 2 3 2" xfId="1866"/>
    <cellStyle name="Обычный 5 4 2 2 3 2 2" xfId="1867"/>
    <cellStyle name="Обычный 5 4 2 2 3 2 2 2" xfId="1868"/>
    <cellStyle name="Обычный 5 4 2 2 3 2 3" xfId="1869"/>
    <cellStyle name="Обычный 5 4 2 2 3 3" xfId="1870"/>
    <cellStyle name="Обычный 5 4 2 2 3 3 2" xfId="1871"/>
    <cellStyle name="Обычный 5 4 2 2 3 4" xfId="1872"/>
    <cellStyle name="Обычный 5 4 2 2 4" xfId="1873"/>
    <cellStyle name="Обычный 5 4 2 2 4 2" xfId="1874"/>
    <cellStyle name="Обычный 5 4 2 2 4 2 2" xfId="1875"/>
    <cellStyle name="Обычный 5 4 2 2 4 3" xfId="1876"/>
    <cellStyle name="Обычный 5 4 2 2 5" xfId="1877"/>
    <cellStyle name="Обычный 5 4 2 2 5 2" xfId="1878"/>
    <cellStyle name="Обычный 5 4 2 2 6" xfId="1879"/>
    <cellStyle name="Обычный 5 4 2 3" xfId="1880"/>
    <cellStyle name="Обычный 5 4 2 3 2" xfId="1881"/>
    <cellStyle name="Обычный 5 4 2 3 2 2" xfId="1882"/>
    <cellStyle name="Обычный 5 4 2 3 2 2 2" xfId="1883"/>
    <cellStyle name="Обычный 5 4 2 3 2 2 2 2" xfId="1884"/>
    <cellStyle name="Обычный 5 4 2 3 2 2 3" xfId="1885"/>
    <cellStyle name="Обычный 5 4 2 3 2 3" xfId="1886"/>
    <cellStyle name="Обычный 5 4 2 3 2 3 2" xfId="1887"/>
    <cellStyle name="Обычный 5 4 2 3 2 4" xfId="1888"/>
    <cellStyle name="Обычный 5 4 2 3 3" xfId="1889"/>
    <cellStyle name="Обычный 5 4 2 3 3 2" xfId="1890"/>
    <cellStyle name="Обычный 5 4 2 3 3 2 2" xfId="1891"/>
    <cellStyle name="Обычный 5 4 2 3 3 3" xfId="1892"/>
    <cellStyle name="Обычный 5 4 2 3 4" xfId="1893"/>
    <cellStyle name="Обычный 5 4 2 3 4 2" xfId="1894"/>
    <cellStyle name="Обычный 5 4 2 3 5" xfId="1895"/>
    <cellStyle name="Обычный 5 4 2 4" xfId="1896"/>
    <cellStyle name="Обычный 5 4 2 4 2" xfId="1897"/>
    <cellStyle name="Обычный 5 4 2 4 2 2" xfId="1898"/>
    <cellStyle name="Обычный 5 4 2 4 2 2 2" xfId="1899"/>
    <cellStyle name="Обычный 5 4 2 4 2 3" xfId="1900"/>
    <cellStyle name="Обычный 5 4 2 4 3" xfId="1901"/>
    <cellStyle name="Обычный 5 4 2 4 3 2" xfId="1902"/>
    <cellStyle name="Обычный 5 4 2 4 4" xfId="1903"/>
    <cellStyle name="Обычный 5 4 2 5" xfId="1904"/>
    <cellStyle name="Обычный 5 4 2 5 2" xfId="1905"/>
    <cellStyle name="Обычный 5 4 2 5 2 2" xfId="1906"/>
    <cellStyle name="Обычный 5 4 2 5 3" xfId="1907"/>
    <cellStyle name="Обычный 5 4 2 6" xfId="1908"/>
    <cellStyle name="Обычный 5 4 2 6 2" xfId="1909"/>
    <cellStyle name="Обычный 5 4 2 7" xfId="1910"/>
    <cellStyle name="Обычный 5 4 3" xfId="1911"/>
    <cellStyle name="Обычный 5 4 3 2" xfId="1912"/>
    <cellStyle name="Обычный 5 4 3 2 2" xfId="1913"/>
    <cellStyle name="Обычный 5 4 3 2 2 2" xfId="1914"/>
    <cellStyle name="Обычный 5 4 3 2 2 2 2" xfId="1915"/>
    <cellStyle name="Обычный 5 4 3 2 2 2 2 2" xfId="1916"/>
    <cellStyle name="Обычный 5 4 3 2 2 2 3" xfId="1917"/>
    <cellStyle name="Обычный 5 4 3 2 2 3" xfId="1918"/>
    <cellStyle name="Обычный 5 4 3 2 2 3 2" xfId="1919"/>
    <cellStyle name="Обычный 5 4 3 2 2 4" xfId="1920"/>
    <cellStyle name="Обычный 5 4 3 2 3" xfId="1921"/>
    <cellStyle name="Обычный 5 4 3 2 3 2" xfId="1922"/>
    <cellStyle name="Обычный 5 4 3 2 3 2 2" xfId="1923"/>
    <cellStyle name="Обычный 5 4 3 2 3 3" xfId="1924"/>
    <cellStyle name="Обычный 5 4 3 2 4" xfId="1925"/>
    <cellStyle name="Обычный 5 4 3 2 4 2" xfId="1926"/>
    <cellStyle name="Обычный 5 4 3 2 5" xfId="1927"/>
    <cellStyle name="Обычный 5 4 3 3" xfId="1928"/>
    <cellStyle name="Обычный 5 4 3 3 2" xfId="1929"/>
    <cellStyle name="Обычный 5 4 3 3 2 2" xfId="1930"/>
    <cellStyle name="Обычный 5 4 3 3 2 2 2" xfId="1931"/>
    <cellStyle name="Обычный 5 4 3 3 2 3" xfId="1932"/>
    <cellStyle name="Обычный 5 4 3 3 3" xfId="1933"/>
    <cellStyle name="Обычный 5 4 3 3 3 2" xfId="1934"/>
    <cellStyle name="Обычный 5 4 3 3 4" xfId="1935"/>
    <cellStyle name="Обычный 5 4 3 4" xfId="1936"/>
    <cellStyle name="Обычный 5 4 3 4 2" xfId="1937"/>
    <cellStyle name="Обычный 5 4 3 4 2 2" xfId="1938"/>
    <cellStyle name="Обычный 5 4 3 4 3" xfId="1939"/>
    <cellStyle name="Обычный 5 4 3 5" xfId="1940"/>
    <cellStyle name="Обычный 5 4 3 5 2" xfId="1941"/>
    <cellStyle name="Обычный 5 4 3 6" xfId="1942"/>
    <cellStyle name="Обычный 5 4 4" xfId="1943"/>
    <cellStyle name="Обычный 5 4 4 2" xfId="1944"/>
    <cellStyle name="Обычный 5 4 4 2 2" xfId="1945"/>
    <cellStyle name="Обычный 5 4 4 2 2 2" xfId="1946"/>
    <cellStyle name="Обычный 5 4 4 2 2 2 2" xfId="1947"/>
    <cellStyle name="Обычный 5 4 4 2 2 3" xfId="1948"/>
    <cellStyle name="Обычный 5 4 4 2 3" xfId="1949"/>
    <cellStyle name="Обычный 5 4 4 2 3 2" xfId="1950"/>
    <cellStyle name="Обычный 5 4 4 2 4" xfId="1951"/>
    <cellStyle name="Обычный 5 4 4 3" xfId="1952"/>
    <cellStyle name="Обычный 5 4 4 3 2" xfId="1953"/>
    <cellStyle name="Обычный 5 4 4 3 2 2" xfId="1954"/>
    <cellStyle name="Обычный 5 4 4 3 3" xfId="1955"/>
    <cellStyle name="Обычный 5 4 4 4" xfId="1956"/>
    <cellStyle name="Обычный 5 4 4 4 2" xfId="1957"/>
    <cellStyle name="Обычный 5 4 4 5" xfId="1958"/>
    <cellStyle name="Обычный 5 4 5" xfId="1959"/>
    <cellStyle name="Обычный 5 4 5 2" xfId="1960"/>
    <cellStyle name="Обычный 5 4 5 2 2" xfId="1961"/>
    <cellStyle name="Обычный 5 4 5 2 2 2" xfId="1962"/>
    <cellStyle name="Обычный 5 4 5 2 3" xfId="1963"/>
    <cellStyle name="Обычный 5 4 5 3" xfId="1964"/>
    <cellStyle name="Обычный 5 4 5 3 2" xfId="1965"/>
    <cellStyle name="Обычный 5 4 5 4" xfId="1966"/>
    <cellStyle name="Обычный 5 4 6" xfId="1967"/>
    <cellStyle name="Обычный 5 4 6 2" xfId="1968"/>
    <cellStyle name="Обычный 5 4 6 2 2" xfId="1969"/>
    <cellStyle name="Обычный 5 4 6 3" xfId="1970"/>
    <cellStyle name="Обычный 5 4 7" xfId="1971"/>
    <cellStyle name="Обычный 5 4 7 2" xfId="1972"/>
    <cellStyle name="Обычный 5 4 8" xfId="1973"/>
    <cellStyle name="Обычный 5 5" xfId="1974"/>
    <cellStyle name="Обычный 5 5 2" xfId="1975"/>
    <cellStyle name="Обычный 5 5 2 2" xfId="1976"/>
    <cellStyle name="Обычный 5 5 2 2 2" xfId="1977"/>
    <cellStyle name="Обычный 5 5 2 2 2 2" xfId="1978"/>
    <cellStyle name="Обычный 5 5 2 2 2 2 2" xfId="1979"/>
    <cellStyle name="Обычный 5 5 2 2 2 2 2 2" xfId="1980"/>
    <cellStyle name="Обычный 5 5 2 2 2 2 3" xfId="1981"/>
    <cellStyle name="Обычный 5 5 2 2 2 3" xfId="1982"/>
    <cellStyle name="Обычный 5 5 2 2 2 3 2" xfId="1983"/>
    <cellStyle name="Обычный 5 5 2 2 2 4" xfId="1984"/>
    <cellStyle name="Обычный 5 5 2 2 3" xfId="1985"/>
    <cellStyle name="Обычный 5 5 2 2 3 2" xfId="1986"/>
    <cellStyle name="Обычный 5 5 2 2 3 2 2" xfId="1987"/>
    <cellStyle name="Обычный 5 5 2 2 3 3" xfId="1988"/>
    <cellStyle name="Обычный 5 5 2 2 4" xfId="1989"/>
    <cellStyle name="Обычный 5 5 2 2 4 2" xfId="1990"/>
    <cellStyle name="Обычный 5 5 2 2 5" xfId="1991"/>
    <cellStyle name="Обычный 5 5 2 3" xfId="1992"/>
    <cellStyle name="Обычный 5 5 2 3 2" xfId="1993"/>
    <cellStyle name="Обычный 5 5 2 3 2 2" xfId="1994"/>
    <cellStyle name="Обычный 5 5 2 3 2 2 2" xfId="1995"/>
    <cellStyle name="Обычный 5 5 2 3 2 3" xfId="1996"/>
    <cellStyle name="Обычный 5 5 2 3 3" xfId="1997"/>
    <cellStyle name="Обычный 5 5 2 3 3 2" xfId="1998"/>
    <cellStyle name="Обычный 5 5 2 3 4" xfId="1999"/>
    <cellStyle name="Обычный 5 5 2 4" xfId="2000"/>
    <cellStyle name="Обычный 5 5 2 4 2" xfId="2001"/>
    <cellStyle name="Обычный 5 5 2 4 2 2" xfId="2002"/>
    <cellStyle name="Обычный 5 5 2 4 3" xfId="2003"/>
    <cellStyle name="Обычный 5 5 2 5" xfId="2004"/>
    <cellStyle name="Обычный 5 5 2 5 2" xfId="2005"/>
    <cellStyle name="Обычный 5 5 2 6" xfId="2006"/>
    <cellStyle name="Обычный 5 5 3" xfId="2007"/>
    <cellStyle name="Обычный 5 5 3 2" xfId="2008"/>
    <cellStyle name="Обычный 5 5 3 2 2" xfId="2009"/>
    <cellStyle name="Обычный 5 5 3 2 2 2" xfId="2010"/>
    <cellStyle name="Обычный 5 5 3 2 2 2 2" xfId="2011"/>
    <cellStyle name="Обычный 5 5 3 2 2 3" xfId="2012"/>
    <cellStyle name="Обычный 5 5 3 2 3" xfId="2013"/>
    <cellStyle name="Обычный 5 5 3 2 3 2" xfId="2014"/>
    <cellStyle name="Обычный 5 5 3 2 4" xfId="2015"/>
    <cellStyle name="Обычный 5 5 3 3" xfId="2016"/>
    <cellStyle name="Обычный 5 5 3 3 2" xfId="2017"/>
    <cellStyle name="Обычный 5 5 3 3 2 2" xfId="2018"/>
    <cellStyle name="Обычный 5 5 3 3 3" xfId="2019"/>
    <cellStyle name="Обычный 5 5 3 4" xfId="2020"/>
    <cellStyle name="Обычный 5 5 3 4 2" xfId="2021"/>
    <cellStyle name="Обычный 5 5 3 5" xfId="2022"/>
    <cellStyle name="Обычный 5 5 4" xfId="2023"/>
    <cellStyle name="Обычный 5 5 4 2" xfId="2024"/>
    <cellStyle name="Обычный 5 5 4 2 2" xfId="2025"/>
    <cellStyle name="Обычный 5 5 4 2 2 2" xfId="2026"/>
    <cellStyle name="Обычный 5 5 4 2 3" xfId="2027"/>
    <cellStyle name="Обычный 5 5 4 3" xfId="2028"/>
    <cellStyle name="Обычный 5 5 4 3 2" xfId="2029"/>
    <cellStyle name="Обычный 5 5 4 4" xfId="2030"/>
    <cellStyle name="Обычный 5 5 5" xfId="2031"/>
    <cellStyle name="Обычный 5 5 5 2" xfId="2032"/>
    <cellStyle name="Обычный 5 5 5 2 2" xfId="2033"/>
    <cellStyle name="Обычный 5 5 5 3" xfId="2034"/>
    <cellStyle name="Обычный 5 5 6" xfId="2035"/>
    <cellStyle name="Обычный 5 5 6 2" xfId="2036"/>
    <cellStyle name="Обычный 5 5 7" xfId="2037"/>
    <cellStyle name="Обычный 5 6" xfId="2038"/>
    <cellStyle name="Обычный 5 6 2" xfId="2039"/>
    <cellStyle name="Обычный 5 6 2 2" xfId="2040"/>
    <cellStyle name="Обычный 5 6 2 2 2" xfId="2041"/>
    <cellStyle name="Обычный 5 6 2 2 2 2" xfId="2042"/>
    <cellStyle name="Обычный 5 6 2 2 2 2 2" xfId="2043"/>
    <cellStyle name="Обычный 5 6 2 2 2 3" xfId="2044"/>
    <cellStyle name="Обычный 5 6 2 2 3" xfId="2045"/>
    <cellStyle name="Обычный 5 6 2 2 3 2" xfId="2046"/>
    <cellStyle name="Обычный 5 6 2 2 4" xfId="2047"/>
    <cellStyle name="Обычный 5 6 2 3" xfId="2048"/>
    <cellStyle name="Обычный 5 6 2 3 2" xfId="2049"/>
    <cellStyle name="Обычный 5 6 2 3 2 2" xfId="2050"/>
    <cellStyle name="Обычный 5 6 2 3 3" xfId="2051"/>
    <cellStyle name="Обычный 5 6 2 4" xfId="2052"/>
    <cellStyle name="Обычный 5 6 2 4 2" xfId="2053"/>
    <cellStyle name="Обычный 5 6 2 5" xfId="2054"/>
    <cellStyle name="Обычный 5 6 3" xfId="2055"/>
    <cellStyle name="Обычный 5 6 3 2" xfId="2056"/>
    <cellStyle name="Обычный 5 6 3 2 2" xfId="2057"/>
    <cellStyle name="Обычный 5 6 3 2 2 2" xfId="2058"/>
    <cellStyle name="Обычный 5 6 3 2 3" xfId="2059"/>
    <cellStyle name="Обычный 5 6 3 3" xfId="2060"/>
    <cellStyle name="Обычный 5 6 3 3 2" xfId="2061"/>
    <cellStyle name="Обычный 5 6 3 4" xfId="2062"/>
    <cellStyle name="Обычный 5 6 4" xfId="2063"/>
    <cellStyle name="Обычный 5 6 4 2" xfId="2064"/>
    <cellStyle name="Обычный 5 6 4 2 2" xfId="2065"/>
    <cellStyle name="Обычный 5 6 4 3" xfId="2066"/>
    <cellStyle name="Обычный 5 6 5" xfId="2067"/>
    <cellStyle name="Обычный 5 6 5 2" xfId="2068"/>
    <cellStyle name="Обычный 5 6 6" xfId="2069"/>
    <cellStyle name="Обычный 5 7" xfId="2070"/>
    <cellStyle name="Обычный 5 7 2" xfId="2071"/>
    <cellStyle name="Обычный 5 7 2 2" xfId="2072"/>
    <cellStyle name="Обычный 5 7 2 2 2" xfId="2073"/>
    <cellStyle name="Обычный 5 7 2 2 2 2" xfId="2074"/>
    <cellStyle name="Обычный 5 7 2 2 3" xfId="2075"/>
    <cellStyle name="Обычный 5 7 2 3" xfId="2076"/>
    <cellStyle name="Обычный 5 7 2 3 2" xfId="2077"/>
    <cellStyle name="Обычный 5 7 2 4" xfId="2078"/>
    <cellStyle name="Обычный 5 7 3" xfId="2079"/>
    <cellStyle name="Обычный 5 7 3 2" xfId="2080"/>
    <cellStyle name="Обычный 5 7 3 2 2" xfId="2081"/>
    <cellStyle name="Обычный 5 7 3 3" xfId="2082"/>
    <cellStyle name="Обычный 5 7 4" xfId="2083"/>
    <cellStyle name="Обычный 5 7 4 2" xfId="2084"/>
    <cellStyle name="Обычный 5 7 5" xfId="2085"/>
    <cellStyle name="Обычный 5 8" xfId="2086"/>
    <cellStyle name="Обычный 5 8 2" xfId="2087"/>
    <cellStyle name="Обычный 5 8 2 2" xfId="2088"/>
    <cellStyle name="Обычный 5 8 2 2 2" xfId="2089"/>
    <cellStyle name="Обычный 5 8 2 3" xfId="2090"/>
    <cellStyle name="Обычный 5 8 3" xfId="2091"/>
    <cellStyle name="Обычный 5 8 3 2" xfId="2092"/>
    <cellStyle name="Обычный 5 8 4" xfId="2093"/>
    <cellStyle name="Обычный 5 9" xfId="2094"/>
    <cellStyle name="Обычный 5 9 2" xfId="2095"/>
    <cellStyle name="Обычный 5 9 2 2" xfId="2096"/>
    <cellStyle name="Обычный 5 9 3" xfId="2097"/>
  </cellStyles>
  <dxfs count="5">
    <dxf>
      <font>
        <name val="Times New Roman"/>
        <scheme val="none"/>
        <strike val="0"/>
        <sz val="14"/>
        <color theme="1"/>
      </font>
    </dxf>
    <dxf>
      <font>
        <name val="Times New Roman"/>
        <scheme val="none"/>
        <strike val="0"/>
        <sz val="14"/>
        <color theme="1"/>
      </font>
    </dxf>
    <dxf>
      <font>
        <name val="Times New Roman"/>
        <scheme val="none"/>
        <strike val="0"/>
        <sz val="14"/>
        <color theme="1"/>
      </font>
    </dxf>
    <dxf>
      <font>
        <name val="Times New Roman"/>
        <scheme val="none"/>
        <strike val="0"/>
        <sz val="14"/>
        <color theme="1"/>
      </font>
    </dxf>
    <dxf>
      <font>
        <name val="Times New Roman"/>
        <scheme val="none"/>
        <strike val="0"/>
        <sz val="14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04%20&#1040;&#1070;\&#1048;&#1090;&#1086;&#1075;&#1086;&#1074;&#1086;&#1077;_&#1076;&#1086;&#1085;&#1077;&#1089;&#1077;&#1085;&#1080;&#1077;_&#1057;&#1074;&#1086;&#1076;&#1085;&#1086;&#1075;&#1086;_10.04.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%208\Desktop\&#1048;&#1044;_&#1086;&#1090;&#1088;&#1103;&#1076;&#1072;_&#1062;_&#1086;&#1090;_08_05_25%20(&#1048;&#1089;&#1087;&#1088;&#1072;&#1074;&#1083;&#1077;&#1085;&#1086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8;&#1044;_8%20&#1086;&#1090;&#1088;&#1103;&#1076;&#1072;%2013.0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Полная информация"/>
      <sheetName val="Для подсчета"/>
      <sheetName val="Справочная информация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главная"/>
      <sheetName val="Ц"/>
      <sheetName val="ИТОГО"/>
      <sheetName val="Сумарно"/>
      <sheetName val="Справочная информация"/>
      <sheetName val="Нетрогать "/>
      <sheetName val="Разделение ячеек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главная"/>
      <sheetName val="Диаграмма1"/>
      <sheetName val="8"/>
      <sheetName val="ИТОГО"/>
      <sheetName val="Эффективность (...) дроны"/>
      <sheetName val="Справочная информация"/>
      <sheetName val="Уточнения"/>
      <sheetName val="Нетрогать "/>
      <sheetName val="Разделение ячеек"/>
    </sheetNames>
    <sheetDataSet>
      <sheetData sheetId="0">
        <row r="51">
          <cell r="D51">
            <v>82</v>
          </cell>
        </row>
        <row r="52">
          <cell r="D52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id="1" name="Таблица2" displayName="Таблица2" ref="E3:E22" totalsRowShown="0">
  <autoFilter xmlns:etc="http://www.wps.cn/officeDocument/2017/etCustomData" ref="E3:E22" etc:filterBottomFollowUsedRange="0"/>
  <tableColumns count="1">
    <tableColumn id="1" name="Столбец1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Таблица9" displayName="Таблица9" ref="G3:G57" totalsRowShown="0">
  <autoFilter xmlns:etc="http://www.wps.cn/officeDocument/2017/etCustomData" ref="G3:G57" etc:filterBottomFollowUsedRange="0"/>
  <tableColumns count="1">
    <tableColumn id="1" name="Столбец1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3:A68" totalsRowShown="0">
  <autoFilter xmlns:etc="http://www.wps.cn/officeDocument/2017/etCustomData" ref="A3:A68" etc:filterBottomFollowUsedRange="0"/>
  <tableColumns count="1">
    <tableColumn id="1" name="Столбец1" dataDxf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C3:C35" totalsRowShown="0">
  <autoFilter xmlns:etc="http://www.wps.cn/officeDocument/2017/etCustomData" ref="C3:C35" etc:filterBottomFollowUsedRange="0"/>
  <tableColumns count="1">
    <tableColumn id="1" name="Столбец1" dataDxfId="3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Таблица1" displayName="Таблица1" ref="I3:I13" totalsRowShown="0">
  <autoFilter xmlns:etc="http://www.wps.cn/officeDocument/2017/etCustomData" ref="I3:I13" etc:filterBottomFollowUsedRange="0"/>
  <tableColumns count="1">
    <tableColumn id="1" name="Столбец1" dataDxfId="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"/>
  <sheetViews>
    <sheetView zoomScale="70" zoomScaleNormal="70" zoomScaleSheetLayoutView="70" workbookViewId="0">
      <selection activeCell="G16" sqref="G16:H16"/>
    </sheetView>
  </sheetViews>
  <sheetFormatPr defaultColWidth="8.85714285714286" defaultRowHeight="15"/>
  <cols>
    <col min="1" max="1" width="11" style="19" customWidth="1"/>
    <col min="2" max="2" width="8.85714285714286" style="19" customWidth="1"/>
    <col min="3" max="3" width="17.5714285714286" style="19" customWidth="1"/>
    <col min="4" max="4" width="15.7142857142857" style="19" customWidth="1"/>
    <col min="5" max="5" width="8" style="19" customWidth="1"/>
    <col min="6" max="6" width="10.5714285714286" style="19" customWidth="1"/>
    <col min="7" max="7" width="7.42857142857143" style="19" customWidth="1"/>
    <col min="8" max="9" width="8.85714285714286" style="19" customWidth="1"/>
    <col min="10" max="10" width="9.71428571428571" style="19" customWidth="1"/>
    <col min="11" max="16384" width="8.85714285714286" style="19" customWidth="1"/>
  </cols>
  <sheetData>
    <row r="1" ht="15.6" customHeight="1" spans="1:15">
      <c r="A1" s="218" t="s">
        <v>0</v>
      </c>
      <c r="J1" s="248"/>
      <c r="K1" s="248"/>
      <c r="L1" s="248"/>
      <c r="M1" s="248"/>
      <c r="N1" s="248"/>
      <c r="O1" s="248"/>
    </row>
    <row r="2" ht="15.6" customHeight="1" spans="1:15">
      <c r="A2" s="218" t="s">
        <v>1</v>
      </c>
      <c r="J2" s="248"/>
      <c r="K2" s="248"/>
      <c r="L2" s="248"/>
      <c r="M2" s="248"/>
      <c r="N2" s="248"/>
      <c r="O2" s="248"/>
    </row>
    <row r="3" ht="16.15" customHeight="1" spans="1:15">
      <c r="A3" s="218" t="s">
        <v>2</v>
      </c>
      <c r="J3" s="249"/>
      <c r="K3" s="248"/>
      <c r="L3" s="248"/>
      <c r="M3" s="248"/>
      <c r="N3" s="248"/>
      <c r="O3" s="248"/>
    </row>
    <row r="4" ht="18.75" spans="1:15">
      <c r="A4" s="219" t="s">
        <v>3</v>
      </c>
      <c r="E4" s="220" t="s">
        <v>4</v>
      </c>
      <c r="F4" s="221" t="s">
        <v>5</v>
      </c>
      <c r="G4" s="222" t="s">
        <v>6</v>
      </c>
      <c r="H4" s="222"/>
      <c r="I4" s="221"/>
      <c r="J4" s="248"/>
      <c r="K4" s="248"/>
      <c r="L4" s="248"/>
      <c r="M4" s="248"/>
      <c r="N4" s="248"/>
      <c r="O4" s="248"/>
    </row>
    <row r="5" ht="14.45" customHeight="1" spans="1:15">
      <c r="A5" s="223"/>
      <c r="B5" s="224" t="s">
        <v>7</v>
      </c>
      <c r="C5" s="224"/>
      <c r="D5" s="224"/>
      <c r="E5" s="224"/>
      <c r="F5" s="224"/>
      <c r="G5" s="224"/>
      <c r="H5" s="223"/>
      <c r="I5" s="223"/>
      <c r="J5" s="248"/>
      <c r="K5" s="248"/>
      <c r="L5" s="248"/>
      <c r="M5" s="248"/>
      <c r="N5" s="248"/>
      <c r="O5" s="248"/>
    </row>
    <row r="6" ht="18.75" customHeight="1" spans="1:15">
      <c r="A6" s="223"/>
      <c r="B6" s="218" t="s">
        <v>8</v>
      </c>
      <c r="D6" s="223" t="s">
        <v>9</v>
      </c>
      <c r="F6" s="218" t="s">
        <v>10</v>
      </c>
      <c r="H6" s="223" t="s">
        <v>11</v>
      </c>
      <c r="J6" s="248"/>
      <c r="K6" s="248"/>
      <c r="L6" s="248"/>
      <c r="M6" s="248"/>
      <c r="N6" s="248"/>
      <c r="O6" s="248"/>
    </row>
    <row r="7" ht="18.75" customHeight="1" spans="1:15">
      <c r="A7" s="223"/>
      <c r="B7" s="218" t="s">
        <v>12</v>
      </c>
      <c r="D7" s="223" t="s">
        <v>13</v>
      </c>
      <c r="F7" s="218" t="s">
        <v>14</v>
      </c>
      <c r="H7" s="223" t="s">
        <v>11</v>
      </c>
      <c r="J7" s="248"/>
      <c r="K7" s="248"/>
      <c r="L7" s="248"/>
      <c r="M7" s="248"/>
      <c r="N7" s="248"/>
      <c r="O7" s="248"/>
    </row>
    <row r="8" ht="18.75" customHeight="1" spans="1:15">
      <c r="A8" s="223"/>
      <c r="B8" s="218" t="s">
        <v>15</v>
      </c>
      <c r="D8" s="223" t="s">
        <v>11</v>
      </c>
      <c r="F8" s="218" t="s">
        <v>16</v>
      </c>
      <c r="H8" s="223" t="s">
        <v>17</v>
      </c>
      <c r="J8" s="248"/>
      <c r="K8" s="248"/>
      <c r="L8" s="248"/>
      <c r="M8" s="248"/>
      <c r="N8" s="248"/>
      <c r="O8" s="248"/>
    </row>
    <row r="9" ht="18.75" customHeight="1" spans="1:15">
      <c r="A9" s="223"/>
      <c r="B9" s="218" t="s">
        <v>18</v>
      </c>
      <c r="D9" s="223" t="s">
        <v>19</v>
      </c>
      <c r="F9" s="225" t="s">
        <v>20</v>
      </c>
      <c r="H9" s="29" t="s">
        <v>11</v>
      </c>
      <c r="J9" s="248"/>
      <c r="K9" s="248"/>
      <c r="L9" s="248"/>
      <c r="M9" s="248"/>
      <c r="N9" s="248"/>
      <c r="O9" s="248"/>
    </row>
    <row r="10" ht="18.75" customHeight="1" spans="1:15">
      <c r="A10" s="223"/>
      <c r="B10" s="218" t="s">
        <v>21</v>
      </c>
      <c r="D10" s="223" t="s">
        <v>19</v>
      </c>
      <c r="F10" s="225"/>
      <c r="G10" s="225"/>
      <c r="H10" s="29"/>
      <c r="I10" s="29"/>
      <c r="J10" s="248"/>
      <c r="K10" s="248"/>
      <c r="L10" s="248"/>
      <c r="M10" s="248"/>
      <c r="N10" s="248"/>
      <c r="O10" s="248"/>
    </row>
    <row r="11" ht="19.15" customHeight="1" spans="1:15">
      <c r="A11" s="226"/>
      <c r="B11" s="227" t="s">
        <v>22</v>
      </c>
      <c r="C11" s="228"/>
      <c r="D11" s="228"/>
      <c r="E11" s="228"/>
      <c r="F11" s="228"/>
      <c r="G11" s="228"/>
      <c r="H11" s="228"/>
      <c r="I11" s="226"/>
      <c r="J11" s="248"/>
      <c r="K11" s="248"/>
      <c r="L11" s="248"/>
      <c r="M11" s="248"/>
      <c r="N11" s="248"/>
      <c r="O11" s="248"/>
    </row>
    <row r="12" ht="19.15" customHeight="1" spans="1:15">
      <c r="A12" s="229"/>
      <c r="B12" s="50"/>
      <c r="C12" s="50"/>
      <c r="D12" s="50"/>
      <c r="E12" s="230" t="s">
        <v>23</v>
      </c>
      <c r="F12" s="231"/>
      <c r="G12" s="230" t="s">
        <v>24</v>
      </c>
      <c r="H12" s="231"/>
      <c r="I12" s="250" t="s">
        <v>25</v>
      </c>
      <c r="J12" s="248"/>
      <c r="K12" s="248"/>
      <c r="L12" s="248"/>
      <c r="M12" s="248"/>
      <c r="N12" s="248"/>
      <c r="O12" s="248"/>
    </row>
    <row r="13" ht="18.75" customHeight="1" spans="1:15">
      <c r="A13" s="232" t="s">
        <v>26</v>
      </c>
      <c r="B13" s="233"/>
      <c r="C13" s="233"/>
      <c r="D13" s="234"/>
      <c r="E13" s="235">
        <f t="array" ref="E13">SUMPRODUCT(('8 (Отряд)'!$C$1:$C$1812="танк")*((ISNUMBER(SEARCH("КВН",'8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13" s="234"/>
      <c r="G13" s="235">
        <f t="array" ref="G13">SUMPRODUCT(('8 (Отряд)'!C1:C1812="танк")*((ISNUMBER(SEARCH("Молния-2",'8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13" s="234"/>
      <c r="I13" s="251">
        <f>E13+G13</f>
        <v>0</v>
      </c>
      <c r="J13" s="248"/>
      <c r="K13" s="248"/>
      <c r="L13" s="248"/>
      <c r="M13" s="248"/>
      <c r="N13" s="248"/>
      <c r="O13" s="248"/>
    </row>
    <row r="14" ht="18.75" customHeight="1" spans="1:15">
      <c r="A14" s="232" t="s">
        <v>27</v>
      </c>
      <c r="B14" s="233"/>
      <c r="C14" s="233"/>
      <c r="D14" s="234"/>
      <c r="E14" s="235">
        <f t="array" ref="E14">SUMPRODUCT(('8 (Отряд)'!$C$1:$C$1812=A14)*((ISNUMBER(SEARCH("КВН",'8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14" s="234"/>
      <c r="G14" s="235">
        <f t="array" ref="G14">SUMPRODUCT(('8 (Отряд)'!C1:C1812="самоходное артиллерийское орудие")*((ISNUMBER(SEARCH("Молния-2",'8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14" s="234"/>
      <c r="I14" s="251">
        <f t="shared" ref="I14:I44" si="0">G14+E14</f>
        <v>0</v>
      </c>
      <c r="J14" s="248"/>
      <c r="K14" s="248"/>
      <c r="L14" s="248"/>
      <c r="M14" s="248"/>
      <c r="N14" s="248"/>
      <c r="O14" s="248"/>
    </row>
    <row r="15" ht="18.75" customHeight="1" spans="1:15">
      <c r="A15" s="232" t="s">
        <v>28</v>
      </c>
      <c r="B15" s="233"/>
      <c r="C15" s="233"/>
      <c r="D15" s="234"/>
      <c r="E15" s="235">
        <f t="array" ref="E15">SUMPRODUCT(('8 (Отряд)'!$C$1:$C$1812=A15)*((ISNUMBER(SEARCH("КВН",'8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15" s="234"/>
      <c r="G15" s="235">
        <f t="array" ref="G15">SUMPRODUCT(('8 (Отряд)'!C1:C1812="буксируемое артиллерийское орудие")*((ISNUMBER(SEARCH("Молния-2",'8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15" s="234"/>
      <c r="I15" s="251">
        <f t="shared" si="0"/>
        <v>0</v>
      </c>
      <c r="J15" s="248"/>
      <c r="K15" s="248"/>
      <c r="L15" s="248"/>
      <c r="M15" s="248"/>
      <c r="N15" s="248"/>
      <c r="O15" s="248"/>
    </row>
    <row r="16" ht="18.75" customHeight="1" spans="1:15">
      <c r="A16" s="232" t="s">
        <v>29</v>
      </c>
      <c r="B16" s="233"/>
      <c r="C16" s="233"/>
      <c r="D16" s="234"/>
      <c r="E16" s="235">
        <f t="array" ref="E16">SUMPRODUCT(('8 (Отряд)'!$C$1:$C$1812=A16)*((ISNUMBER(SEARCH("КВН",'8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16" s="234"/>
      <c r="G16" s="235">
        <f t="array" ref="G16">SUMPRODUCT(('8 (Отряд)'!C1:C1812="РСЗО")*((ISNUMBER(SEARCH("Молния-2",'8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16" s="234"/>
      <c r="I16" s="251">
        <f t="shared" si="0"/>
        <v>0</v>
      </c>
      <c r="J16" s="248"/>
      <c r="K16" s="248"/>
      <c r="L16" s="248"/>
      <c r="M16" s="248"/>
      <c r="N16" s="248"/>
      <c r="O16" s="248"/>
    </row>
    <row r="17" ht="18.75" customHeight="1" spans="1:15">
      <c r="A17" s="232" t="s">
        <v>30</v>
      </c>
      <c r="B17" s="233"/>
      <c r="C17" s="233"/>
      <c r="D17" s="234"/>
      <c r="E17" s="235">
        <f t="array" ref="E17">SUMPRODUCT(('8 (Отряд)'!$C$1:$C$1812=A17)*((ISNUMBER(SEARCH("КВН",'8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17" s="234"/>
      <c r="G17" s="235">
        <f t="array" ref="G17">SUMPRODUCT(('8 (Отряд)'!C1:C1812="миномет")*((ISNUMBER(SEARCH("Молния-2",'8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17" s="234"/>
      <c r="I17" s="251">
        <f t="shared" si="0"/>
        <v>0</v>
      </c>
      <c r="J17" s="248"/>
      <c r="K17" s="248"/>
      <c r="L17" s="248"/>
      <c r="M17" s="248"/>
      <c r="N17" s="248"/>
      <c r="O17" s="248"/>
    </row>
    <row r="18" ht="18.75" customHeight="1" spans="1:15">
      <c r="A18" s="232" t="s">
        <v>31</v>
      </c>
      <c r="B18" s="233"/>
      <c r="C18" s="233"/>
      <c r="D18" s="234"/>
      <c r="E18" s="235">
        <f t="array" ref="E18">SUMPRODUCT(('8 (Отряд)'!$C$1:$C$1812=A18)*((ISNUMBER(SEARCH("КВН",'8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18" s="234"/>
      <c r="G18" s="235">
        <f t="array" ref="G18">SUMPRODUCT(('8 (Отряд)'!C1:C1812="ПТРК")*((ISNUMBER(SEARCH("Молния-2",'8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18" s="234"/>
      <c r="I18" s="251">
        <f t="shared" si="0"/>
        <v>0</v>
      </c>
      <c r="J18" s="248"/>
      <c r="K18" s="248"/>
      <c r="L18" s="248"/>
      <c r="M18" s="248"/>
      <c r="N18" s="248"/>
      <c r="O18" s="248"/>
    </row>
    <row r="19" ht="18.75" customHeight="1" spans="1:15">
      <c r="A19" s="232" t="s">
        <v>32</v>
      </c>
      <c r="B19" s="233"/>
      <c r="C19" s="233"/>
      <c r="D19" s="234"/>
      <c r="E19" s="235">
        <f t="array" ref="E19">SUMPRODUCT(('8 (Отряд)'!$C$1:$C$1812=A19)*((ISNUMBER(SEARCH("КВН",'8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19" s="234"/>
      <c r="G19" s="235">
        <f t="array" ref="G19">SUMPRODUCT(('8 (Отряд)'!C1:C1812="зенитная установка")*((ISNUMBER(SEARCH("Молния-2",'8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19" s="234"/>
      <c r="I19" s="251">
        <f t="shared" si="0"/>
        <v>0</v>
      </c>
      <c r="J19" s="248"/>
      <c r="K19" s="248"/>
      <c r="L19" s="248"/>
      <c r="M19" s="248"/>
      <c r="N19" s="248"/>
      <c r="O19" s="248"/>
    </row>
    <row r="20" ht="18.75" customHeight="1" spans="1:15">
      <c r="A20" s="232" t="s">
        <v>33</v>
      </c>
      <c r="B20" s="233"/>
      <c r="C20" s="233"/>
      <c r="D20" s="234"/>
      <c r="E20" s="235">
        <f t="array" ref="E20">SUMPRODUCT(('8 (Отряд)'!$C$1:$C$1812=A20)*((ISNUMBER(SEARCH("КВН",'8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0" s="234"/>
      <c r="G20" s="235">
        <f t="array" ref="G20">SUMPRODUCT(('8 (Отряд)'!C1:C1812="боевая машина пехоты")*((ISNUMBER(SEARCH("Молния-2",'8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0" s="234"/>
      <c r="I20" s="251">
        <f t="shared" si="0"/>
        <v>0</v>
      </c>
      <c r="J20" s="248"/>
      <c r="K20" s="248"/>
      <c r="L20" s="248"/>
      <c r="M20" s="248"/>
      <c r="N20" s="248"/>
      <c r="O20" s="248"/>
    </row>
    <row r="21" ht="18.75" customHeight="1" spans="1:15">
      <c r="A21" s="232" t="s">
        <v>34</v>
      </c>
      <c r="B21" s="233"/>
      <c r="C21" s="233"/>
      <c r="D21" s="234"/>
      <c r="E21" s="235">
        <f t="array" ref="E21">SUMPRODUCT(('8 (Отряд)'!$C$1:$C$1812=A21)*((ISNUMBER(SEARCH("КВН",'8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1" s="234"/>
      <c r="G21" s="235">
        <f t="array" ref="G21">SUMPRODUCT(('8 (Отряд)'!C1:C1812="бронетранспортер")*((ISNUMBER(SEARCH("Молния-2",'8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1" s="234"/>
      <c r="I21" s="251">
        <f t="shared" si="0"/>
        <v>0</v>
      </c>
      <c r="J21" s="248"/>
      <c r="K21" s="248"/>
      <c r="L21" s="248"/>
      <c r="M21" s="248"/>
      <c r="N21" s="248"/>
      <c r="O21" s="248"/>
    </row>
    <row r="22" ht="18.75" customHeight="1" spans="1:15">
      <c r="A22" s="232" t="s">
        <v>35</v>
      </c>
      <c r="B22" s="233"/>
      <c r="C22" s="233"/>
      <c r="D22" s="234"/>
      <c r="E22" s="235">
        <f t="array" ref="E22">SUMPRODUCT(('8 (Отряд)'!$C$1:$C$1812=A22)*((ISNUMBER(SEARCH("КВН",'8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2" s="234"/>
      <c r="G22" s="235">
        <f t="array" ref="G22">SUMPRODUCT(('8 (Отряд)'!C1:C1812="боевая бронированная машина")*((ISNUMBER(SEARCH("Молния-2",'8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2" s="234"/>
      <c r="I22" s="251">
        <f t="shared" si="0"/>
        <v>0</v>
      </c>
      <c r="J22" s="248"/>
      <c r="K22" s="248"/>
      <c r="L22" s="248"/>
      <c r="M22" s="248"/>
      <c r="N22" s="248"/>
      <c r="O22" s="248"/>
    </row>
    <row r="23" ht="18.75" customHeight="1" spans="1:15">
      <c r="A23" s="232" t="s">
        <v>36</v>
      </c>
      <c r="B23" s="233"/>
      <c r="C23" s="233"/>
      <c r="D23" s="234"/>
      <c r="E23" s="235">
        <f t="array" ref="E23">SUMPRODUCT(('8 (Отряд)'!$C$1:$C$1812=A23)*((ISNUMBER(SEARCH("КВН",'8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3" s="234"/>
      <c r="G23" s="235">
        <f t="array" ref="G23">SUMPRODUCT(('8 (Отряд)'!C1:C1812="РЛС")*((ISNUMBER(SEARCH("Молния-2",'8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3" s="234"/>
      <c r="I23" s="251">
        <f t="shared" si="0"/>
        <v>0</v>
      </c>
      <c r="J23" s="248"/>
      <c r="K23" s="248"/>
      <c r="L23" s="248"/>
      <c r="M23" s="248"/>
      <c r="N23" s="248"/>
      <c r="O23" s="248"/>
    </row>
    <row r="24" ht="18.75" customHeight="1" spans="1:15">
      <c r="A24" s="232" t="s">
        <v>37</v>
      </c>
      <c r="B24" s="233"/>
      <c r="C24" s="233"/>
      <c r="D24" s="234"/>
      <c r="E24" s="235">
        <f t="array" ref="E24">SUMPRODUCT(('8 (Отряд)'!$C$1:$C$1812=A24)*((ISNUMBER(SEARCH("КВН",'8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4" s="234"/>
      <c r="G24" s="235">
        <f t="array" ref="G24">SUMPRODUCT(('8 (Отряд)'!C1:C1812="РЭР")*((ISNUMBER(SEARCH("Молния-2",'8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4" s="234"/>
      <c r="I24" s="251">
        <f t="shared" si="0"/>
        <v>0</v>
      </c>
      <c r="J24" s="248"/>
      <c r="K24" s="248"/>
      <c r="L24" s="248"/>
      <c r="M24" s="248"/>
      <c r="N24" s="248"/>
      <c r="O24" s="248"/>
    </row>
    <row r="25" ht="18.75" customHeight="1" spans="1:15">
      <c r="A25" s="232" t="s">
        <v>38</v>
      </c>
      <c r="B25" s="233"/>
      <c r="C25" s="233"/>
      <c r="D25" s="234"/>
      <c r="E25" s="235">
        <f t="array" ref="E25">SUMPRODUCT(('8 (Отряд)'!$C$1:$C$1812=A25)*((ISNUMBER(SEARCH("КВН",'8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5" s="234"/>
      <c r="G25" s="235">
        <f t="array" ref="G25">SUMPRODUCT(('8 (Отряд)'!C1:C1812="РЭБ")*((ISNUMBER(SEARCH("Молния-2",'8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5" s="234"/>
      <c r="I25" s="251">
        <f t="shared" si="0"/>
        <v>0</v>
      </c>
      <c r="J25" s="248"/>
      <c r="K25" s="248"/>
      <c r="L25" s="248"/>
      <c r="M25" s="248"/>
      <c r="N25" s="248"/>
      <c r="O25" s="248"/>
    </row>
    <row r="26" ht="18.75" customHeight="1" spans="1:15">
      <c r="A26" s="232" t="s">
        <v>39</v>
      </c>
      <c r="B26" s="233"/>
      <c r="C26" s="233"/>
      <c r="D26" s="234"/>
      <c r="E26" s="235">
        <f t="array" ref="E26">SUMPRODUCT(('8 (Отряд)'!$C$1:$C$1812=A26)*((ISNUMBER(SEARCH("КВН",'8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6" s="234"/>
      <c r="G26" s="236">
        <f t="array" ref="G26">SUMPRODUCT(('8 (Отряд)'!C1:C1812="автомобильная техника")*((ISNUMBER(SEARCH("Молния-2",'8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6" s="234"/>
      <c r="I26" s="251">
        <f t="shared" si="0"/>
        <v>0</v>
      </c>
      <c r="J26" s="248"/>
      <c r="K26" s="248"/>
      <c r="L26" s="248"/>
      <c r="M26" s="248"/>
      <c r="N26" s="248"/>
      <c r="O26" s="248"/>
    </row>
    <row r="27" ht="18.75" customHeight="1" spans="1:15">
      <c r="A27" s="232" t="s">
        <v>40</v>
      </c>
      <c r="B27" s="233"/>
      <c r="C27" s="233"/>
      <c r="D27" s="234"/>
      <c r="E27" s="235">
        <f t="array" ref="E27">SUMPRODUCT(('8 (Отряд)'!$C$1:$C$1812=A27)*((ISNUMBER(SEARCH("КВН",'8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7" s="234"/>
      <c r="G27" s="235">
        <f t="array" ref="G27">SUMPRODUCT(('8 (Отряд)'!C1:C1812="мототехника")*((ISNUMBER(SEARCH("Молния-2",'8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7" s="234"/>
      <c r="I27" s="251">
        <f t="shared" si="0"/>
        <v>0</v>
      </c>
      <c r="J27" s="248"/>
      <c r="K27" s="248"/>
      <c r="L27" s="248"/>
      <c r="M27" s="248"/>
      <c r="N27" s="248"/>
      <c r="O27" s="248"/>
    </row>
    <row r="28" ht="18.75" customHeight="1" spans="1:15">
      <c r="A28" s="232" t="s">
        <v>41</v>
      </c>
      <c r="B28" s="233"/>
      <c r="C28" s="233"/>
      <c r="D28" s="234"/>
      <c r="E28" s="235">
        <f t="array" ref="E28">SUMPRODUCT(('8 (Отряд)'!$C$1:$C$1812=A28)*((ISNUMBER(SEARCH("КВН",'8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8" s="234"/>
      <c r="G28" s="235">
        <f t="array" ref="G28">SUMPRODUCT(('8 (Отряд)'!C1:C1812="инженерная техника")*((ISNUMBER(SEARCH("Молния-2",'8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8" s="234"/>
      <c r="I28" s="251">
        <f t="shared" si="0"/>
        <v>0</v>
      </c>
      <c r="J28" s="248"/>
      <c r="K28" s="248"/>
      <c r="L28" s="248"/>
      <c r="M28" s="248"/>
      <c r="N28" s="248"/>
      <c r="O28" s="248"/>
    </row>
    <row r="29" ht="18.75" customHeight="1" spans="1:15">
      <c r="A29" s="232" t="s">
        <v>42</v>
      </c>
      <c r="B29" s="233"/>
      <c r="C29" s="233"/>
      <c r="D29" s="234"/>
      <c r="E29" s="235">
        <f t="array" ref="E29">SUMPRODUCT(('8 (Отряд)'!$C$1:$C$1812=A29)*((ISNUMBER(SEARCH("КВН",'8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29" s="234"/>
      <c r="G29" s="235">
        <f t="array" ref="G29">SUMPRODUCT(('8 (Отряд)'!C1:C1812="ПУ БпЛА")*((ISNUMBER(SEARCH("Молния-2",'8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29" s="234"/>
      <c r="I29" s="251">
        <f t="shared" si="0"/>
        <v>0</v>
      </c>
      <c r="J29" s="248"/>
      <c r="K29" s="248"/>
      <c r="L29" s="248"/>
      <c r="M29" s="248"/>
      <c r="N29" s="248"/>
      <c r="O29" s="248"/>
    </row>
    <row r="30" ht="18.75" customHeight="1" spans="1:15">
      <c r="A30" s="232" t="s">
        <v>43</v>
      </c>
      <c r="B30" s="233"/>
      <c r="C30" s="233"/>
      <c r="D30" s="234"/>
      <c r="E30" s="235">
        <f t="array" ref="E30">SUMPRODUCT(('8 (Отряд)'!$C$1:$C$1812=A30)*((ISNUMBER(SEARCH("КВН",'8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0" s="234"/>
      <c r="G30" s="235">
        <f t="array" ref="G30">SUMPRODUCT(('8 (Отряд)'!C1:C1812="БпЛА")*((ISNUMBER(SEARCH("Молния-2",'8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30" s="234"/>
      <c r="I30" s="251">
        <f t="shared" si="0"/>
        <v>0</v>
      </c>
      <c r="J30" s="248"/>
      <c r="K30" s="248"/>
      <c r="L30" s="248"/>
      <c r="M30" s="248"/>
      <c r="N30" s="248"/>
      <c r="O30" s="248"/>
    </row>
    <row r="31" ht="18.75" customHeight="1" spans="1:15">
      <c r="A31" s="232" t="s">
        <v>44</v>
      </c>
      <c r="B31" s="233"/>
      <c r="C31" s="233"/>
      <c r="D31" s="234"/>
      <c r="E31" s="235">
        <f t="array" ref="E31">SUMPRODUCT(('8 (Отряд)'!$C$1:$C$1812=A31)*((ISNUMBER(SEARCH("КВН",'8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1" s="234"/>
      <c r="G31" s="235">
        <f t="array" ref="G31">SUMPRODUCT(('8 (Отряд)'!C1:C1812="наземные дроны")*((ISNUMBER(SEARCH("Молния-2",'8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31" s="234"/>
      <c r="I31" s="251">
        <f t="shared" si="0"/>
        <v>0</v>
      </c>
      <c r="J31" s="248"/>
      <c r="K31" s="248"/>
      <c r="L31" s="248"/>
      <c r="M31" s="248"/>
      <c r="N31" s="248"/>
      <c r="O31" s="248"/>
    </row>
    <row r="32" ht="18.75" customHeight="1" spans="1:15">
      <c r="A32" s="232" t="s">
        <v>45</v>
      </c>
      <c r="B32" s="233"/>
      <c r="C32" s="233"/>
      <c r="D32" s="234"/>
      <c r="E32" s="235">
        <f t="array" ref="E32">SUMPRODUCT(('8 (Отряд)'!$C$1:$C$1812=A32)*((ISNUMBER(SEARCH("КВН",'8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2" s="234"/>
      <c r="G32" s="235">
        <f t="array" ref="G32">SUMPRODUCT(('8 (Отряд)'!C1:C1812="Баба Яга")*((ISNUMBER(SEARCH("Молния-2",'8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32" s="234"/>
      <c r="I32" s="251">
        <f t="shared" si="0"/>
        <v>0</v>
      </c>
      <c r="J32" s="248"/>
      <c r="K32" s="248"/>
      <c r="L32" s="248"/>
      <c r="M32" s="248"/>
      <c r="N32" s="248"/>
      <c r="O32" s="248"/>
    </row>
    <row r="33" ht="18.75" customHeight="1" spans="1:15">
      <c r="A33" s="232" t="s">
        <v>46</v>
      </c>
      <c r="B33" s="233"/>
      <c r="C33" s="233"/>
      <c r="D33" s="234"/>
      <c r="E33" s="235">
        <f t="array" ref="E33">SUMPRODUCT(('8 (Отряд)'!$C$1:$C$1812=A33)*((ISNUMBER(SEARCH("КВН",'8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3" s="234"/>
      <c r="G33" s="235">
        <f t="array" ref="G33">SUMPRODUCT(('8 (Отряд)'!C1:C1812="пункт управления")*((ISNUMBER(SEARCH("Молния-2",'8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33" s="234"/>
      <c r="I33" s="251">
        <f t="shared" si="0"/>
        <v>0</v>
      </c>
      <c r="J33" s="248"/>
      <c r="K33" s="248"/>
      <c r="L33" s="248"/>
      <c r="M33" s="248"/>
      <c r="N33" s="248"/>
      <c r="O33" s="248"/>
    </row>
    <row r="34" ht="18.75" customHeight="1" spans="1:15">
      <c r="A34" s="232" t="s">
        <v>47</v>
      </c>
      <c r="B34" s="233"/>
      <c r="C34" s="233"/>
      <c r="D34" s="234"/>
      <c r="E34" s="235">
        <f t="array" ref="E34">SUMPRODUCT(('8 (Отряд)'!$C$1:$C$1812=A34)*((ISNUMBER(SEARCH("КВН",'8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4" s="234"/>
      <c r="G34" s="235">
        <f t="array" ref="G34">SUMPRODUCT(('8 (Отряд)'!C1:C1812="склад БК")*((ISNUMBER(SEARCH("Молния-2",'8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34" s="234"/>
      <c r="I34" s="251">
        <f t="shared" si="0"/>
        <v>0</v>
      </c>
      <c r="J34" s="248"/>
      <c r="K34" s="248"/>
      <c r="L34" s="248"/>
      <c r="M34" s="248"/>
      <c r="N34" s="248"/>
      <c r="O34" s="248"/>
    </row>
    <row r="35" ht="18.75" customHeight="1" spans="1:15">
      <c r="A35" s="232" t="s">
        <v>48</v>
      </c>
      <c r="B35" s="233"/>
      <c r="C35" s="233"/>
      <c r="D35" s="234"/>
      <c r="E35" s="235">
        <f t="array" ref="E35">SUMPRODUCT(('8 (Отряд)'!$C$1:$C$1812=A35)*((ISNUMBER(SEARCH("КВН",'8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5" s="234"/>
      <c r="G35" s="235">
        <f t="array" ref="G35">SUMPRODUCT(('8 (Отряд)'!C1:C1812="склад ГСМ")*((ISNUMBER(SEARCH("Молния-2",'8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35" s="234"/>
      <c r="I35" s="251">
        <f t="shared" si="0"/>
        <v>0</v>
      </c>
      <c r="J35" s="248"/>
      <c r="K35" s="248"/>
      <c r="L35" s="248"/>
      <c r="M35" s="248"/>
      <c r="N35" s="248"/>
      <c r="O35" s="248"/>
    </row>
    <row r="36" ht="18.75" customHeight="1" spans="1:15">
      <c r="A36" s="232" t="s">
        <v>49</v>
      </c>
      <c r="B36" s="233"/>
      <c r="C36" s="233"/>
      <c r="D36" s="234"/>
      <c r="E36" s="235">
        <f t="array" ref="E36">SUMPRODUCT(('8 (Отряд)'!$C$1:$C$1812=A36)*((ISNUMBER(SEARCH("КВН",'8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6" s="234"/>
      <c r="G36" s="235">
        <f t="array" ref="G36">SUMPRODUCT(('8 (Отряд)'!C1:C1812="огневая позиция")*((ISNUMBER(SEARCH("Молния-2",'8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36" s="234"/>
      <c r="I36" s="251">
        <f t="shared" si="0"/>
        <v>0</v>
      </c>
      <c r="J36" s="248"/>
      <c r="K36" s="248"/>
      <c r="L36" s="248"/>
      <c r="M36" s="248"/>
      <c r="N36" s="248"/>
      <c r="O36" s="248"/>
    </row>
    <row r="37" ht="18.75" customHeight="1" spans="1:15">
      <c r="A37" s="232" t="s">
        <v>50</v>
      </c>
      <c r="B37" s="233"/>
      <c r="C37" s="233"/>
      <c r="D37" s="234"/>
      <c r="E37" s="235">
        <f t="array" ref="E37">SUMPRODUCT(('8 (Отряд)'!$C$1:$C$1812=A37)*((ISNUMBER(SEARCH("КВН",'8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7" s="234"/>
      <c r="G37" s="235">
        <f t="array" ref="G37">SUMPRODUCT(('8 (Отряд)'!C1:C1812="пункт временной дислокации")*((ISNUMBER(SEARCH("Молния-2",'8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37" s="234"/>
      <c r="I37" s="251">
        <f t="shared" si="0"/>
        <v>0</v>
      </c>
      <c r="K37" s="248"/>
      <c r="L37" s="248"/>
      <c r="M37" s="248"/>
      <c r="N37" s="248"/>
      <c r="O37" s="248"/>
    </row>
    <row r="38" ht="18.75" customHeight="1" spans="1:15">
      <c r="A38" s="232" t="s">
        <v>51</v>
      </c>
      <c r="B38" s="233"/>
      <c r="C38" s="233"/>
      <c r="D38" s="234"/>
      <c r="E38" s="235">
        <f t="array" ref="E38">SUMPRODUCT(('8 (Отряд)'!$C$1:$C$1812=A38)*((ISNUMBER(SEARCH("КВН",'8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8" s="234"/>
      <c r="G38" s="235">
        <f t="array" ref="G38">SUMPRODUCT(('8 (Отряд)'!C2:C1813="инженерное сооружение")*((ISNUMBER(SEARCH("Молния-2",'8 (Отряд)'!H2:H1813))+ISNUMBER(SEARCH("Молния-2ДТ",'8 (Отряд)'!H2:H1813))+ISNUMBER(SEARCH("Утка Д",'8 (Отряд)'!H2:H1813))+ISNUMBER(SEARCH("Утка Н",'8 (Отряд)'!H2:H1813))+ISNUMBER(SEARCH("Ш-10",'8 (Отряд)'!H2:H1813))+ISNUMBER(SEARCH("Х-51",'8 (Отряд)'!H2:H1813))+ISNUMBER(SEARCH("Х-52",'8 (Отряд)'!H2:H1813))+ISNUMBER(SEARCH("Скальпель",'8 (Отряд)'!H2:H1813)))&gt;0)*('8 (Отряд)'!M2:M1813="уничтожение")*('8 (Отряд)'!N2:N1813="уничтожено"))</f>
        <v>0</v>
      </c>
      <c r="H38" s="234"/>
      <c r="I38" s="251">
        <f t="shared" si="0"/>
        <v>0</v>
      </c>
      <c r="J38" s="248"/>
      <c r="K38" s="248"/>
      <c r="L38" s="248"/>
      <c r="M38" s="248"/>
      <c r="N38" s="248"/>
      <c r="O38" s="248"/>
    </row>
    <row r="39" ht="18.75" customHeight="1" spans="1:15">
      <c r="A39" s="232" t="s">
        <v>52</v>
      </c>
      <c r="B39" s="233"/>
      <c r="C39" s="233"/>
      <c r="D39" s="234"/>
      <c r="E39" s="235">
        <f t="array" ref="E39">SUMPRODUCT(('8 (Отряд)'!$C$1:$C$1812=A39)*((ISNUMBER(SEARCH("КВН",'8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39" s="234"/>
      <c r="G39" s="235">
        <f t="array" ref="G39">SUMPRODUCT(('8 (Отряд)'!C1:C1812="система связи")*((ISNUMBER(SEARCH("Молния-2",'8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39" s="234"/>
      <c r="I39" s="251">
        <f t="shared" si="0"/>
        <v>0</v>
      </c>
      <c r="J39" s="248"/>
      <c r="K39" s="248"/>
      <c r="L39" s="248"/>
      <c r="M39" s="248"/>
      <c r="N39" s="248"/>
      <c r="O39" s="248"/>
    </row>
    <row r="40" ht="18.75" customHeight="1" spans="1:15">
      <c r="A40" s="232" t="s">
        <v>53</v>
      </c>
      <c r="B40" s="233"/>
      <c r="C40" s="233"/>
      <c r="D40" s="234"/>
      <c r="E40" s="235">
        <f t="array" ref="E40">SUMPRODUCT(('8 (Отряд)'!$C$1:$C$1812=A40)*((ISNUMBER(SEARCH("КВН",'8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40" s="234"/>
      <c r="G40" s="235">
        <f t="array" ref="G40">SUMPRODUCT(('8 (Отряд)'!C1:C1812="живая сила 200")*((ISNUMBER(SEARCH("Молния-2",'8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40" s="234"/>
      <c r="I40" s="251">
        <f t="shared" si="0"/>
        <v>0</v>
      </c>
      <c r="J40" s="248"/>
      <c r="K40" s="248"/>
      <c r="L40" s="248"/>
      <c r="M40" s="248"/>
      <c r="N40" s="248"/>
      <c r="O40" s="248"/>
    </row>
    <row r="41" ht="18.75" customHeight="1" spans="1:15">
      <c r="A41" s="232" t="s">
        <v>54</v>
      </c>
      <c r="B41" s="233"/>
      <c r="C41" s="233"/>
      <c r="D41" s="234"/>
      <c r="E41" s="235">
        <f t="array" ref="E41">SUMPRODUCT(('8 (Отряд)'!$C$1:$C$1812=A41)*((ISNUMBER(SEARCH("КВН",'8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41" s="234"/>
      <c r="G41" s="235">
        <f t="array" ref="G41">SUMPRODUCT(('8 (Отряд)'!C1:C1812="живая сила 300")*((ISNUMBER(SEARCH("Молния-2",'8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41" s="234"/>
      <c r="I41" s="251">
        <f t="shared" si="0"/>
        <v>0</v>
      </c>
      <c r="J41" s="248"/>
      <c r="K41" s="248"/>
      <c r="L41" s="248"/>
      <c r="M41" s="248"/>
      <c r="N41" s="248"/>
      <c r="O41" s="248"/>
    </row>
    <row r="42" ht="18.75" customHeight="1" spans="1:15">
      <c r="A42" s="232" t="s">
        <v>55</v>
      </c>
      <c r="B42" s="233"/>
      <c r="C42" s="233"/>
      <c r="D42" s="234"/>
      <c r="E42" s="235">
        <f t="array" ref="E42">SUMPRODUCT(('8 (Отряд)'!$C$1:$C$1812=A42)*((ISNUMBER(SEARCH("КВН",'8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42" s="234"/>
      <c r="G42" s="235">
        <f t="array" ref="G42">SUMPRODUCT(('8 (Отряд)'!C1:C1812="средства жизнеобеспечения")*((ISNUMBER(SEARCH("Молния-2",'8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42" s="234"/>
      <c r="I42" s="251">
        <f t="shared" si="0"/>
        <v>0</v>
      </c>
      <c r="J42" s="248"/>
      <c r="K42" s="248"/>
      <c r="L42" s="248"/>
      <c r="M42" s="248"/>
      <c r="N42" s="248"/>
      <c r="O42" s="248"/>
    </row>
    <row r="43" ht="18.75" customHeight="1" spans="1:15">
      <c r="A43" s="232" t="s">
        <v>56</v>
      </c>
      <c r="B43" s="233"/>
      <c r="C43" s="233"/>
      <c r="D43" s="234"/>
      <c r="E43" s="235">
        <f t="array" ref="E43">SUMPRODUCT(('8 (Отряд)'!$C$1:$C$1812=A43)*((ISNUMBER(SEARCH("КВН",'8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43" s="234"/>
      <c r="G43" s="235">
        <f t="array" ref="G43">SUMPRODUCT(('8 (Отряд)'!C1:C1812="огневые средства")*((ISNUMBER(SEARCH("Молния-2",'8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43" s="234"/>
      <c r="I43" s="251">
        <f t="shared" si="0"/>
        <v>0</v>
      </c>
      <c r="J43" s="248"/>
      <c r="K43" s="248"/>
      <c r="L43" s="248"/>
      <c r="M43" s="248"/>
      <c r="N43" s="248"/>
      <c r="O43" s="248"/>
    </row>
    <row r="44" ht="18.75" customHeight="1" spans="1:15">
      <c r="A44" s="232" t="s">
        <v>57</v>
      </c>
      <c r="B44" s="233"/>
      <c r="C44" s="233"/>
      <c r="D44" s="234"/>
      <c r="E44" s="235">
        <f t="array" ref="E44">SUMPRODUCT(('8 (Отряд)'!$C$1:$C$1812=A44)*((ISNUMBER(SEARCH("КВН",'8 (Отряд)'!$H$1:$H$1812))+ISNUMBER(SEARCH("КВН-Т",'8 (Отряд)'!$H$1:$H$1812))+ISNUMBER(SEARCH("ПВХ-1",'8 (Отряд)'!$H$1:$H$1812))+ISNUMBER(SEARCH("ПВХ-1Т",'8 (Отряд)'!$H$1:$H$1812))+ISNUMBER(SEARCH("ПВХ-3",'8 (Отряд)'!$H$1:$H$1812))+ISNUMBER(SEARCH("ПВХ-3Т",'8 (Отряд)'!$H$1:$H$1812))+ISNUMBER(SEARCH("Бумеранг-10 (День)",'8 (Отряд)'!$H$1:$H$1812))+ISNUMBER(SEARCH("Бумеранг-10 (Ночь)",'8 (Отряд)'!$H$1:$H$1812))+ISNUMBER(SEARCH("ПВХ-5",'8 (Отряд)'!$H$1:$H$1812))+ISNUMBER(SEARCH("ПВХ-5Т",'8 (Отряд)'!$H$1:$H$1812)))&gt;0)*('8 (Отряд)'!$M$1:$M$1812="уничтожение")*('8 (Отряд)'!$N$1:$N$1812="уничтожено"))</f>
        <v>0</v>
      </c>
      <c r="F44" s="234"/>
      <c r="G44" s="235">
        <f t="array" ref="G44">SUMPRODUCT(('8 (Отряд)'!C1:C1812="макет")*((ISNUMBER(SEARCH("Молния-2",'8 (Отряд)'!H1:H1812))+ISNUMBER(SEARCH("Молния-2ДТ",'8 (Отряд)'!H1:H1812))+ISNUMBER(SEARCH("Утка Д",'8 (Отряд)'!H1:H1812))+ISNUMBER(SEARCH("Утка Н",'8 (Отряд)'!H1:H1812))+ISNUMBER(SEARCH("Ш-10",'8 (Отряд)'!H1:H1812))+ISNUMBER(SEARCH("Х-51",'8 (Отряд)'!H1:H1812))+ISNUMBER(SEARCH("Х-52",'8 (Отряд)'!H1:H1812))+ISNUMBER(SEARCH("Скальпель",'8 (Отряд)'!H1:H1812)))&gt;0)*('8 (Отряд)'!M1:M1812="уничтожение")*('8 (Отряд)'!N1:N1812="уничтожено"))</f>
        <v>0</v>
      </c>
      <c r="H44" s="234"/>
      <c r="I44" s="251">
        <f t="shared" si="0"/>
        <v>0</v>
      </c>
      <c r="J44" s="248"/>
      <c r="K44" s="248"/>
      <c r="L44" s="248"/>
      <c r="M44" s="248"/>
      <c r="N44" s="248"/>
      <c r="O44" s="248"/>
    </row>
    <row r="45" ht="19.5" customHeight="1" spans="1:15">
      <c r="A45" s="237" t="s">
        <v>58</v>
      </c>
      <c r="B45" s="238"/>
      <c r="C45" s="238"/>
      <c r="D45" s="238"/>
      <c r="E45" s="238"/>
      <c r="F45" s="238"/>
      <c r="G45" s="238"/>
      <c r="H45" s="239"/>
      <c r="I45" s="252">
        <f>'8 (Отряд)'!I4</f>
        <v>0</v>
      </c>
      <c r="J45" s="248"/>
      <c r="K45" s="248"/>
      <c r="L45" s="248"/>
      <c r="M45" s="248"/>
      <c r="N45" s="248"/>
      <c r="O45" s="248"/>
    </row>
    <row r="46" ht="18.75" customHeight="1" spans="1:15">
      <c r="A46" s="240"/>
      <c r="B46" s="240"/>
      <c r="C46" s="240"/>
      <c r="D46" s="241"/>
      <c r="E46" s="241"/>
      <c r="F46" s="241"/>
      <c r="G46" s="241"/>
      <c r="H46" s="241"/>
      <c r="I46" s="253"/>
      <c r="J46" s="248"/>
      <c r="K46" s="248"/>
      <c r="L46" s="248"/>
      <c r="M46" s="248"/>
      <c r="N46" s="248"/>
      <c r="O46" s="248"/>
    </row>
    <row r="47" ht="18.75" customHeight="1" spans="1:15">
      <c r="A47" s="240"/>
      <c r="B47" s="242" t="s">
        <v>59</v>
      </c>
      <c r="C47" s="228"/>
      <c r="D47" s="228"/>
      <c r="E47" s="228"/>
      <c r="F47" s="228"/>
      <c r="G47" s="228"/>
      <c r="H47" s="228"/>
      <c r="I47" s="228"/>
      <c r="J47" s="248"/>
      <c r="K47" s="248"/>
      <c r="L47" s="248"/>
      <c r="M47" s="248"/>
      <c r="N47" s="248"/>
      <c r="O47" s="248"/>
    </row>
    <row r="48" ht="18.75" customHeight="1" spans="1:15">
      <c r="A48" s="240"/>
      <c r="B48" s="243" t="s">
        <v>60</v>
      </c>
      <c r="C48" s="228"/>
      <c r="D48" s="243" t="s">
        <v>61</v>
      </c>
      <c r="E48" s="244"/>
      <c r="F48" s="243" t="s">
        <v>62</v>
      </c>
      <c r="G48" s="228"/>
      <c r="H48" s="245" t="s">
        <v>61</v>
      </c>
      <c r="I48" s="228"/>
      <c r="J48" s="248"/>
      <c r="K48" s="248"/>
      <c r="L48" s="248"/>
      <c r="M48" s="248"/>
      <c r="N48" s="248"/>
      <c r="O48" s="248"/>
    </row>
    <row r="49" ht="18.75" customHeight="1" spans="1:15">
      <c r="A49" s="240"/>
      <c r="B49" s="246" t="str">
        <f>'Нетрогать '!E4</f>
        <v>КВН</v>
      </c>
      <c r="C49" s="228"/>
      <c r="D49" s="247">
        <f>SUMIF('8 (Отряд)'!$H$1:$H$1812,'Нетрогать '!E4,'8 (Отряд)'!$I$1:$I$1812)</f>
        <v>0</v>
      </c>
      <c r="E49" s="240"/>
      <c r="F49" s="246" t="str">
        <f>'Нетрогать '!G4</f>
        <v>КОФЗБЧ-5</v>
      </c>
      <c r="G49" s="228"/>
      <c r="H49" s="247">
        <f>SUMIF('8 (Отряд)'!$J$1:$J$1982,'Нетрогать '!G4,'8 (Отряд)'!$K$1:$K$1982)</f>
        <v>0</v>
      </c>
      <c r="I49" s="228"/>
      <c r="J49" s="248"/>
      <c r="K49" s="248"/>
      <c r="L49" s="248"/>
      <c r="M49" s="248"/>
      <c r="N49" s="248"/>
      <c r="O49" s="248"/>
    </row>
    <row r="50" ht="18.75" customHeight="1" spans="1:15">
      <c r="A50" s="240"/>
      <c r="B50" s="246" t="str">
        <f>'Нетрогать '!E5</f>
        <v>КВН-Т</v>
      </c>
      <c r="C50" s="228"/>
      <c r="D50" s="247">
        <f>SUMIF('8 (Отряд)'!$H$1:$H$1812,'Нетрогать '!E5,'8 (Отряд)'!$I$1:$I$1812)</f>
        <v>0</v>
      </c>
      <c r="E50" s="240"/>
      <c r="F50" s="246" t="str">
        <f>'Нетрогать '!G5</f>
        <v>КОФЗБЧ-4</v>
      </c>
      <c r="G50" s="228"/>
      <c r="H50" s="247">
        <f>SUMIF('8 (Отряд)'!$J$1:$J$1982,'Нетрогать '!G5,'8 (Отряд)'!$K$1:$K$1982)</f>
        <v>0</v>
      </c>
      <c r="I50" s="228"/>
      <c r="J50" s="248"/>
      <c r="K50" s="248"/>
      <c r="L50" s="248"/>
      <c r="M50" s="248"/>
      <c r="N50" s="248"/>
      <c r="O50" s="248"/>
    </row>
    <row r="51" ht="18.75" customHeight="1" spans="1:15">
      <c r="A51" s="240"/>
      <c r="B51" s="246" t="str">
        <f>'Нетрогать '!E6</f>
        <v>ПВХ-1</v>
      </c>
      <c r="C51" s="228"/>
      <c r="D51" s="247">
        <f>SUMIF('8 (Отряд)'!$H$1:$H$1812,'Нетрогать '!E6,'8 (Отряд)'!$I$1:$I$1812)</f>
        <v>0</v>
      </c>
      <c r="E51" s="240"/>
      <c r="F51" s="246" t="str">
        <f>'Нетрогать '!G6</f>
        <v>КОФЗБЧ-3</v>
      </c>
      <c r="G51" s="228"/>
      <c r="H51" s="247">
        <f>SUMIF('8 (Отряд)'!$J$1:$J$1982,'Нетрогать '!G6,'8 (Отряд)'!$K$1:$K$1982)</f>
        <v>0</v>
      </c>
      <c r="I51" s="228"/>
      <c r="J51" s="248"/>
      <c r="K51" s="248"/>
      <c r="L51" s="248"/>
      <c r="M51" s="248"/>
      <c r="N51" s="248"/>
      <c r="O51" s="248"/>
    </row>
    <row r="52" ht="18.75" customHeight="1" spans="1:15">
      <c r="A52" s="240"/>
      <c r="B52" s="246" t="str">
        <f>'Нетрогать '!E7</f>
        <v>ПВХ-1Т</v>
      </c>
      <c r="C52" s="228"/>
      <c r="D52" s="247">
        <f>SUMIF('8 (Отряд)'!$H$1:$H$1812,'Нетрогать '!E7,'8 (Отряд)'!$I$1:$I$1812)</f>
        <v>0</v>
      </c>
      <c r="E52" s="240"/>
      <c r="F52" s="246" t="str">
        <f>'Нетрогать '!G7</f>
        <v>КОФЗБЧ-1.8</v>
      </c>
      <c r="G52" s="228"/>
      <c r="H52" s="247">
        <f>SUMIF('8 (Отряд)'!$J$1:$J$1982,'Нетрогать '!G7,'8 (Отряд)'!$K$1:$K$1982)</f>
        <v>0</v>
      </c>
      <c r="I52" s="228"/>
      <c r="J52" s="248"/>
      <c r="K52" s="248"/>
      <c r="L52" s="248"/>
      <c r="M52" s="248"/>
      <c r="N52" s="248"/>
      <c r="O52" s="248"/>
    </row>
    <row r="53" ht="18.75" customHeight="1" spans="1:15">
      <c r="A53" s="240"/>
      <c r="B53" s="246" t="str">
        <f>'Нетрогать '!E8</f>
        <v>ПВХ-1 Сумрак</v>
      </c>
      <c r="C53" s="228"/>
      <c r="D53" s="247">
        <f>SUMIF('8 (Отряд)'!$H$1:$H$1812,'Нетрогать '!E8,'8 (Отряд)'!$I$1:$I$1812)</f>
        <v>0</v>
      </c>
      <c r="E53" s="240"/>
      <c r="F53" s="246" t="str">
        <f>'Нетрогать '!G8</f>
        <v>КОФБЧ-5</v>
      </c>
      <c r="G53" s="228"/>
      <c r="H53" s="247">
        <f>SUMIF('8 (Отряд)'!$J$1:$J$1982,'Нетрогать '!G8,'8 (Отряд)'!$K$1:$K$1982)</f>
        <v>0</v>
      </c>
      <c r="I53" s="228"/>
      <c r="J53" s="248"/>
      <c r="K53" s="248"/>
      <c r="L53" s="248"/>
      <c r="M53" s="248"/>
      <c r="N53" s="248"/>
      <c r="O53" s="248"/>
    </row>
    <row r="54" ht="18.75" customHeight="1" spans="1:15">
      <c r="A54" s="240"/>
      <c r="B54" s="246" t="str">
        <f>'Нетрогать '!E9</f>
        <v>ПВХ-3</v>
      </c>
      <c r="C54" s="228"/>
      <c r="D54" s="247">
        <f>SUMIF('8 (Отряд)'!$H$1:$H$1812,'Нетрогать '!E9,'8 (Отряд)'!$I$1:$I$1812)</f>
        <v>0</v>
      </c>
      <c r="E54" s="240"/>
      <c r="F54" s="246" t="str">
        <f>'Нетрогать '!G9</f>
        <v>КОЗБЧ-3</v>
      </c>
      <c r="G54" s="228"/>
      <c r="H54" s="247">
        <f>SUMIF('8 (Отряд)'!$J$1:$J$1982,'Нетрогать '!G9,'8 (Отряд)'!$K$1:$K$1982)</f>
        <v>0</v>
      </c>
      <c r="I54" s="228"/>
      <c r="J54" s="248"/>
      <c r="K54" s="248"/>
      <c r="L54" s="248"/>
      <c r="M54" s="248"/>
      <c r="N54" s="248"/>
      <c r="O54" s="248"/>
    </row>
    <row r="55" ht="18.75" customHeight="1" spans="1:15">
      <c r="A55" s="240"/>
      <c r="B55" s="246" t="str">
        <f>'Нетрогать '!E10</f>
        <v>ПВХ-3Т</v>
      </c>
      <c r="C55" s="228"/>
      <c r="D55" s="247">
        <f>SUMIF('8 (Отряд)'!$H$1:$H$1812,'Нетрогать '!E10,'8 (Отряд)'!$I$1:$I$1812)</f>
        <v>0</v>
      </c>
      <c r="E55" s="240"/>
      <c r="F55" s="246" t="str">
        <f>'Нетрогать '!G10</f>
        <v>КПТМ-3А</v>
      </c>
      <c r="G55" s="228"/>
      <c r="H55" s="247">
        <f>SUMIF('8 (Отряд)'!$J$1:$J$1982,'Нетрогать '!G10,'8 (Отряд)'!$K$1:$K$1982)</f>
        <v>0</v>
      </c>
      <c r="I55" s="228"/>
      <c r="J55" s="248"/>
      <c r="K55" s="248"/>
      <c r="L55" s="248"/>
      <c r="M55" s="248"/>
      <c r="N55" s="248"/>
      <c r="O55" s="248"/>
    </row>
    <row r="56" ht="18.75" customHeight="1" spans="1:15">
      <c r="A56" s="240"/>
      <c r="B56" s="246" t="str">
        <f>'Нетрогать '!E11</f>
        <v>Бумеранг-10 (День)</v>
      </c>
      <c r="C56" s="228"/>
      <c r="D56" s="247">
        <f>SUMIF('8 (Отряд)'!$H$1:$H$1812,'Нетрогать '!E11,'8 (Отряд)'!$I$1:$I$1812)</f>
        <v>0</v>
      </c>
      <c r="E56" s="240"/>
      <c r="F56" s="246" t="str">
        <f>'Нетрогать '!G11</f>
        <v>КПТМ-3</v>
      </c>
      <c r="G56" s="228"/>
      <c r="H56" s="247">
        <f>SUMIF('8 (Отряд)'!$J$1:$J$1982,'Нетрогать '!G11,'8 (Отряд)'!$K$1:$K$1982)</f>
        <v>0</v>
      </c>
      <c r="I56" s="228"/>
      <c r="J56" s="248"/>
      <c r="K56" s="248"/>
      <c r="L56" s="248"/>
      <c r="M56" s="248"/>
      <c r="N56" s="248"/>
      <c r="O56" s="248"/>
    </row>
    <row r="57" ht="18.75" customHeight="1" spans="1:15">
      <c r="A57" s="240"/>
      <c r="B57" s="246" t="str">
        <f>'Нетрогать '!E12</f>
        <v>Бумеранг-10 (Ночь)</v>
      </c>
      <c r="C57" s="228"/>
      <c r="D57" s="247">
        <f>SUMIF('8 (Отряд)'!$H$1:$H$1812,'Нетрогать '!E12,'8 (Отряд)'!$I$1:$I$1812)</f>
        <v>0</v>
      </c>
      <c r="E57" s="240"/>
      <c r="F57" s="246" t="str">
        <f>'Нетрогать '!G12</f>
        <v>ОФБЧ-5</v>
      </c>
      <c r="G57" s="228"/>
      <c r="H57" s="247">
        <f>SUMIF('8 (Отряд)'!$J$1:$J$1982,'Нетрогать '!G12,'8 (Отряд)'!$K$1:$K$1982)</f>
        <v>0</v>
      </c>
      <c r="I57" s="228"/>
      <c r="J57" s="248"/>
      <c r="K57" s="248"/>
      <c r="L57" s="248"/>
      <c r="M57" s="248"/>
      <c r="N57" s="248"/>
      <c r="O57" s="248"/>
    </row>
    <row r="58" ht="18.75" customHeight="1" spans="1:15">
      <c r="A58" s="240"/>
      <c r="B58" s="246" t="str">
        <f>'Нетрогать '!E13</f>
        <v>ПВХ-5</v>
      </c>
      <c r="C58" s="228"/>
      <c r="D58" s="247">
        <f>SUMIF('8 (Отряд)'!$H$1:$H$1812,'Нетрогать '!E13,'8 (Отряд)'!$I$1:$I$1812)</f>
        <v>0</v>
      </c>
      <c r="E58" s="240"/>
      <c r="F58" s="246" t="str">
        <f>'Нетрогать '!G13</f>
        <v>ОФБЧ-3</v>
      </c>
      <c r="G58" s="228"/>
      <c r="H58" s="247">
        <f>SUMIF('8 (Отряд)'!$J$1:$J$1982,'Нетрогать '!G13,'8 (Отряд)'!$K$1:$K$1982)</f>
        <v>0</v>
      </c>
      <c r="I58" s="228"/>
      <c r="J58" s="248"/>
      <c r="K58" s="248"/>
      <c r="L58" s="248"/>
      <c r="M58" s="248"/>
      <c r="N58" s="248"/>
      <c r="O58" s="248"/>
    </row>
    <row r="59" ht="18.75" customHeight="1" spans="1:15">
      <c r="A59" s="240"/>
      <c r="B59" s="246" t="str">
        <f>'Нетрогать '!E14</f>
        <v>ПВХ-5Т</v>
      </c>
      <c r="C59" s="228"/>
      <c r="D59" s="247">
        <f>SUMIF('8 (Отряд)'!$H$1:$H$1812,'Нетрогать '!E14,'8 (Отряд)'!$I$1:$I$1812)</f>
        <v>0</v>
      </c>
      <c r="E59" s="240"/>
      <c r="F59" s="246" t="str">
        <f>'Нетрогать '!G14</f>
        <v>ОФБЧ-2</v>
      </c>
      <c r="G59" s="228"/>
      <c r="H59" s="247">
        <f>SUMIF('8 (Отряд)'!$J$1:$J$1982,'Нетрогать '!G14,'8 (Отряд)'!$K$1:$K$1982)</f>
        <v>0</v>
      </c>
      <c r="I59" s="228"/>
      <c r="J59" s="248"/>
      <c r="K59" s="248"/>
      <c r="L59" s="248"/>
      <c r="M59" s="248"/>
      <c r="N59" s="248"/>
      <c r="O59" s="248"/>
    </row>
    <row r="60" ht="18.75" customHeight="1" spans="1:15">
      <c r="A60" s="240"/>
      <c r="B60" s="246" t="str">
        <f>'Нетрогать '!E15</f>
        <v>Молния-2</v>
      </c>
      <c r="C60" s="228"/>
      <c r="D60" s="247">
        <f>SUMIF('8 (Отряд)'!$H$1:$H$1812,'Нетрогать '!E15,'8 (Отряд)'!$I$1:$I$1812)</f>
        <v>0</v>
      </c>
      <c r="E60" s="240"/>
      <c r="F60" s="246" t="str">
        <f>'Нетрогать '!G15</f>
        <v>ОФСП-2.5</v>
      </c>
      <c r="G60" s="228"/>
      <c r="H60" s="247">
        <f>SUMIF('8 (Отряд)'!$J$1:$J$1982,'Нетрогать '!G15,'8 (Отряд)'!$K$1:$K$1982)</f>
        <v>0</v>
      </c>
      <c r="I60" s="228"/>
      <c r="J60" s="248"/>
      <c r="K60" s="248"/>
      <c r="L60" s="248"/>
      <c r="M60" s="248"/>
      <c r="N60" s="248"/>
      <c r="O60" s="248"/>
    </row>
    <row r="61" ht="18.75" customHeight="1" spans="1:15">
      <c r="A61" s="240"/>
      <c r="B61" s="246" t="str">
        <f>'Нетрогать '!E16</f>
        <v>Молния-2ДТ</v>
      </c>
      <c r="C61" s="228"/>
      <c r="D61" s="247">
        <f>SUMIF('8 (Отряд)'!$H$1:$H$1812,'Нетрогать '!E16,'8 (Отряд)'!$I$1:$I$1812)</f>
        <v>0</v>
      </c>
      <c r="E61" s="240"/>
      <c r="F61" s="246" t="str">
        <f>'Нетрогать '!G16</f>
        <v>ОФСП-1.7</v>
      </c>
      <c r="G61" s="228"/>
      <c r="H61" s="247">
        <f>SUMIF('8 (Отряд)'!$J$1:$J$1982,'Нетрогать '!G16,'8 (Отряд)'!$K$1:$K$1982)</f>
        <v>0</v>
      </c>
      <c r="I61" s="228"/>
      <c r="J61" s="248"/>
      <c r="K61" s="248"/>
      <c r="L61" s="248"/>
      <c r="M61" s="248"/>
      <c r="N61" s="248"/>
      <c r="O61" s="248"/>
    </row>
    <row r="62" ht="18.75" customHeight="1" spans="1:15">
      <c r="A62" s="240"/>
      <c r="B62" s="246" t="str">
        <f>'Нетрогать '!E17</f>
        <v>Ш-10</v>
      </c>
      <c r="C62" s="228"/>
      <c r="D62" s="247">
        <f>SUMIF('8 (Отряд)'!$H$1:$H$1812,'Нетрогать '!E17,'8 (Отряд)'!$I$1:$I$1812)</f>
        <v>0</v>
      </c>
      <c r="E62" s="240"/>
      <c r="F62" s="246" t="str">
        <f>'Нетрогать '!G17</f>
        <v>ОФСП-0,8</v>
      </c>
      <c r="G62" s="228"/>
      <c r="H62" s="247">
        <f>SUMIF('8 (Отряд)'!$J$1:$J$1982,'Нетрогать '!G17,'8 (Отряд)'!$K$1:$K$1982)</f>
        <v>0</v>
      </c>
      <c r="I62" s="228"/>
      <c r="J62" s="248"/>
      <c r="K62" s="248"/>
      <c r="L62" s="248"/>
      <c r="M62" s="248"/>
      <c r="N62" s="248"/>
      <c r="O62" s="248"/>
    </row>
    <row r="63" ht="18.75" customHeight="1" spans="1:15">
      <c r="A63" s="240"/>
      <c r="B63" s="246" t="str">
        <f>'Нетрогать '!E18</f>
        <v>Х-51</v>
      </c>
      <c r="C63" s="228"/>
      <c r="D63" s="247">
        <f>SUMIF('8 (Отряд)'!$H$1:$H$1812,'Нетрогать '!E18,'8 (Отряд)'!$I$1:$I$1812)</f>
        <v>0</v>
      </c>
      <c r="E63" s="240"/>
      <c r="F63" s="246" t="str">
        <f>'Нетрогать '!G18</f>
        <v>ТББЧ-2.5</v>
      </c>
      <c r="G63" s="228"/>
      <c r="H63" s="247">
        <f>SUMIF('8 (Отряд)'!$J$1:$J$1982,'Нетрогать '!G18,'8 (Отряд)'!$K$1:$K$1982)</f>
        <v>0</v>
      </c>
      <c r="I63" s="228"/>
      <c r="J63" s="248"/>
      <c r="K63" s="248"/>
      <c r="L63" s="248"/>
      <c r="M63" s="248"/>
      <c r="N63" s="248"/>
      <c r="O63" s="248"/>
    </row>
    <row r="64" ht="18.75" customHeight="1" spans="1:15">
      <c r="A64" s="240"/>
      <c r="B64" s="246" t="str">
        <f>'Нетрогать '!E19</f>
        <v>Х-52</v>
      </c>
      <c r="C64" s="228"/>
      <c r="D64" s="247">
        <f>SUMIF('8 (Отряд)'!$H$1:$H$1812,'Нетрогать '!E19,'8 (Отряд)'!$I$1:$I$1812)</f>
        <v>0</v>
      </c>
      <c r="E64" s="240"/>
      <c r="F64" s="246" t="str">
        <f>'Нетрогать '!G19</f>
        <v>ПГ-7ВС</v>
      </c>
      <c r="G64" s="228"/>
      <c r="H64" s="247">
        <f>SUMIF('8 (Отряд)'!$J$1:$J$1982,'Нетрогать '!G19,'8 (Отряд)'!$K$1:$K$1982)</f>
        <v>0</v>
      </c>
      <c r="I64" s="228"/>
      <c r="J64" s="248"/>
      <c r="K64" s="248"/>
      <c r="L64" s="248"/>
      <c r="M64" s="248"/>
      <c r="N64" s="248"/>
      <c r="O64" s="248"/>
    </row>
    <row r="65" ht="18.75" customHeight="1" spans="1:15">
      <c r="A65" s="240"/>
      <c r="B65" s="246" t="str">
        <f>'Нетрогать '!E20</f>
        <v>Скальпель</v>
      </c>
      <c r="C65" s="228"/>
      <c r="D65" s="247">
        <f>SUMIF('8 (Отряд)'!$H$1:$H$1812,'Нетрогать '!E20,'8 (Отряд)'!$I$1:$I$1812)</f>
        <v>0</v>
      </c>
      <c r="E65" s="240"/>
      <c r="F65" s="246" t="str">
        <f>'Нетрогать '!G20</f>
        <v>ПГ-7ВР</v>
      </c>
      <c r="G65" s="228"/>
      <c r="H65" s="247">
        <f>SUMIF('8 (Отряд)'!$J$1:$J$1982,'Нетрогать '!G20,'8 (Отряд)'!$K$1:$K$1982)</f>
        <v>0</v>
      </c>
      <c r="I65" s="228"/>
      <c r="J65" s="248"/>
      <c r="K65" s="248"/>
      <c r="L65" s="248"/>
      <c r="M65" s="248"/>
      <c r="N65" s="248"/>
      <c r="O65" s="248"/>
    </row>
    <row r="66" ht="18.75" customHeight="1" spans="1:15">
      <c r="A66" s="240"/>
      <c r="B66" s="246" t="str">
        <f>'Нетрогать '!E21</f>
        <v>Утка Д</v>
      </c>
      <c r="C66" s="228"/>
      <c r="D66" s="247">
        <f>SUMIF('8 (Отряд)'!$H$1:$H$1812,'Нетрогать '!E21,'8 (Отряд)'!$I$1:$I$1812)</f>
        <v>0</v>
      </c>
      <c r="E66" s="240"/>
      <c r="F66" s="246" t="str">
        <f>'Нетрогать '!G21</f>
        <v>ПГ-7ВЛ</v>
      </c>
      <c r="G66" s="228"/>
      <c r="H66" s="247">
        <f>SUMIF('8 (Отряд)'!$J$1:$J$1982,'Нетрогать '!G21,'8 (Отряд)'!$K$1:$K$1982)</f>
        <v>0</v>
      </c>
      <c r="I66" s="228"/>
      <c r="J66" s="248"/>
      <c r="K66" s="248"/>
      <c r="L66" s="248"/>
      <c r="M66" s="248"/>
      <c r="N66" s="248"/>
      <c r="O66" s="248"/>
    </row>
    <row r="67" ht="18.75" customHeight="1" spans="1:15">
      <c r="A67" s="240"/>
      <c r="B67" s="246" t="str">
        <f>'Нетрогать '!E22</f>
        <v>Утка Н</v>
      </c>
      <c r="C67" s="228"/>
      <c r="D67" s="247">
        <f>SUMIF('8 (Отряд)'!$H$1:$H$1812,'Нетрогать '!E22,'8 (Отряд)'!$I$1:$I$1812)</f>
        <v>0</v>
      </c>
      <c r="E67" s="240"/>
      <c r="F67" s="246" t="str">
        <f>'Нетрогать '!G22</f>
        <v>ПГ-7С</v>
      </c>
      <c r="G67" s="228"/>
      <c r="H67" s="247">
        <f>SUMIF('8 (Отряд)'!$J$1:$J$1982,'Нетрогать '!G22,'8 (Отряд)'!$K$1:$K$1982)</f>
        <v>0</v>
      </c>
      <c r="I67" s="228"/>
      <c r="J67" s="248"/>
      <c r="K67" s="248"/>
      <c r="L67" s="248"/>
      <c r="M67" s="248"/>
      <c r="N67" s="248"/>
      <c r="O67" s="248"/>
    </row>
    <row r="68" ht="18.75" customHeight="1" spans="1:15">
      <c r="A68" s="240"/>
      <c r="B68" s="246"/>
      <c r="C68" s="228"/>
      <c r="D68" s="254"/>
      <c r="E68" s="240"/>
      <c r="F68" s="246" t="str">
        <f>'Нетрогать '!G23</f>
        <v>ПТМ-3</v>
      </c>
      <c r="G68" s="228"/>
      <c r="H68" s="247">
        <f>SUMIF('8 (Отряд)'!$J$1:$J$1982,'Нетрогать '!G23,'8 (Отряд)'!$K$1:$K$1982)</f>
        <v>0</v>
      </c>
      <c r="I68" s="228"/>
      <c r="J68" s="248"/>
      <c r="K68" s="248"/>
      <c r="L68" s="248"/>
      <c r="M68" s="248"/>
      <c r="N68" s="248"/>
      <c r="O68" s="248"/>
    </row>
    <row r="69" ht="18.75" customHeight="1" spans="1:15">
      <c r="A69" s="240"/>
      <c r="B69" s="241"/>
      <c r="C69" s="228"/>
      <c r="D69" s="254"/>
      <c r="E69" s="240"/>
      <c r="F69" s="246" t="str">
        <f>'Нетрогать '!G24</f>
        <v>ПТМ-1</v>
      </c>
      <c r="G69" s="228"/>
      <c r="H69" s="247">
        <f>SUMIF('8 (Отряд)'!$J$1:$J$1982,'Нетрогать '!G24,'8 (Отряд)'!$K$1:$K$1982)</f>
        <v>0</v>
      </c>
      <c r="I69" s="228"/>
      <c r="J69" s="248"/>
      <c r="K69" s="248"/>
      <c r="L69" s="248"/>
      <c r="M69" s="248"/>
      <c r="N69" s="248"/>
      <c r="O69" s="248"/>
    </row>
    <row r="70" ht="18.75" customHeight="1" spans="1:15">
      <c r="A70" s="240"/>
      <c r="B70" s="241"/>
      <c r="C70" s="228"/>
      <c r="D70" s="254"/>
      <c r="E70" s="240"/>
      <c r="F70" s="246" t="str">
        <f>'Нетрогать '!G25</f>
        <v>ПОМ-2</v>
      </c>
      <c r="G70" s="228"/>
      <c r="H70" s="247">
        <f>SUMIF('8 (Отряд)'!$J$1:$J$1982,'Нетрогать '!G25,'8 (Отряд)'!$K$1:$K$1982)</f>
        <v>0</v>
      </c>
      <c r="I70" s="228"/>
      <c r="J70" s="248"/>
      <c r="K70" s="248"/>
      <c r="L70" s="248"/>
      <c r="M70" s="248"/>
      <c r="N70" s="248"/>
      <c r="O70" s="248"/>
    </row>
    <row r="71" ht="18.75" customHeight="1" spans="1:15">
      <c r="A71" s="240"/>
      <c r="B71" s="241"/>
      <c r="C71" s="228"/>
      <c r="D71" s="254"/>
      <c r="E71" s="240"/>
      <c r="F71" s="246" t="str">
        <f>'Нетрогать '!G26</f>
        <v>ТМ-62</v>
      </c>
      <c r="G71" s="228"/>
      <c r="H71" s="247">
        <f>SUMIF('8 (Отряд)'!$J$1:$J$1982,'Нетрогать '!G26,'8 (Отряд)'!$K$1:$K$1982)</f>
        <v>0</v>
      </c>
      <c r="I71" s="228"/>
      <c r="J71" s="248"/>
      <c r="K71" s="248"/>
      <c r="L71" s="248"/>
      <c r="M71" s="248"/>
      <c r="N71" s="248"/>
      <c r="O71" s="248"/>
    </row>
    <row r="72" ht="18.75" customHeight="1" spans="1:15">
      <c r="A72" s="240"/>
      <c r="B72" s="255"/>
      <c r="C72" s="228"/>
      <c r="D72" s="254"/>
      <c r="E72" s="240"/>
      <c r="F72" s="246" t="str">
        <f>'Нетрогать '!G27</f>
        <v>ТМ-72</v>
      </c>
      <c r="G72" s="228"/>
      <c r="H72" s="247">
        <f>SUMIF('8 (Отряд)'!$J$1:$J$1982,'Нетрогать '!G27,'8 (Отряд)'!$K$1:$K$1982)</f>
        <v>0</v>
      </c>
      <c r="I72" s="228"/>
      <c r="J72" s="248"/>
      <c r="K72" s="248"/>
      <c r="L72" s="248"/>
      <c r="M72" s="248"/>
      <c r="N72" s="248"/>
      <c r="O72" s="248"/>
    </row>
    <row r="73" ht="18.75" customHeight="1" spans="1:15">
      <c r="A73" s="240"/>
      <c r="B73" s="255"/>
      <c r="C73" s="228"/>
      <c r="D73" s="254"/>
      <c r="E73" s="240"/>
      <c r="F73" s="246" t="str">
        <f>'Нетрогать '!G28</f>
        <v>С8Ком</v>
      </c>
      <c r="G73" s="228"/>
      <c r="H73" s="247">
        <f>SUMIF('8 (Отряд)'!$J$1:$J$1982,'Нетрогать '!G28,'8 (Отряд)'!$K$1:$K$1982)</f>
        <v>0</v>
      </c>
      <c r="I73" s="228"/>
      <c r="J73" s="248"/>
      <c r="K73" s="248"/>
      <c r="L73" s="248"/>
      <c r="M73" s="248"/>
      <c r="N73" s="248"/>
      <c r="O73" s="248"/>
    </row>
    <row r="74" ht="18.75" customHeight="1" spans="1:15">
      <c r="A74" s="240"/>
      <c r="B74" s="255"/>
      <c r="C74" s="255"/>
      <c r="D74" s="254"/>
      <c r="E74" s="240"/>
      <c r="F74" s="246" t="str">
        <f>'Нетрогать '!G29</f>
        <v>КЗ-6</v>
      </c>
      <c r="G74" s="228"/>
      <c r="H74" s="247">
        <f>SUMIF('8 (Отряд)'!$J$1:$J$1982,'Нетрогать '!G29,'8 (Отряд)'!$K$1:$K$1982)</f>
        <v>0</v>
      </c>
      <c r="I74" s="228"/>
      <c r="J74" s="248"/>
      <c r="K74" s="248"/>
      <c r="L74" s="248"/>
      <c r="M74" s="248"/>
      <c r="N74" s="248"/>
      <c r="O74" s="248"/>
    </row>
    <row r="75" ht="18.75" customHeight="1" spans="1:15">
      <c r="A75" s="240"/>
      <c r="B75" s="255"/>
      <c r="C75" s="255"/>
      <c r="D75" s="254"/>
      <c r="E75" s="240"/>
      <c r="F75" s="246" t="str">
        <f>'Нетрогать '!G30</f>
        <v>СВУ</v>
      </c>
      <c r="G75" s="228"/>
      <c r="H75" s="247">
        <f>SUMIF('8 (Отряд)'!$J$1:$J$1982,'Нетрогать '!G30,'8 (Отряд)'!$K$1:$K$1982)</f>
        <v>0</v>
      </c>
      <c r="I75" s="228"/>
      <c r="J75" s="248"/>
      <c r="K75" s="248"/>
      <c r="L75" s="248"/>
      <c r="M75" s="248"/>
      <c r="N75" s="248"/>
      <c r="O75" s="248"/>
    </row>
    <row r="76" ht="18.75" customHeight="1" spans="1:15">
      <c r="A76" s="240"/>
      <c r="B76" s="240"/>
      <c r="C76" s="240"/>
      <c r="D76" s="240"/>
      <c r="E76" s="240"/>
      <c r="F76" s="246" t="str">
        <f>'Нетрогать '!G31</f>
        <v>ПГ-16</v>
      </c>
      <c r="G76" s="228"/>
      <c r="H76" s="247">
        <f>SUMIF('8 (Отряд)'!$J$1:$J$1982,'Нетрогать '!G31,'8 (Отряд)'!$K$1:$K$1982)</f>
        <v>0</v>
      </c>
      <c r="I76" s="228"/>
      <c r="J76" s="248"/>
      <c r="K76" s="248"/>
      <c r="L76" s="248"/>
      <c r="M76" s="248"/>
      <c r="N76" s="248"/>
      <c r="O76" s="248"/>
    </row>
    <row r="77" ht="18.75" customHeight="1" spans="1:15">
      <c r="A77" s="240"/>
      <c r="B77" s="240"/>
      <c r="C77" s="240"/>
      <c r="D77" s="240"/>
      <c r="E77" s="240"/>
      <c r="F77" s="246" t="str">
        <f>'Нетрогать '!G32</f>
        <v>ПГ-16В</v>
      </c>
      <c r="G77" s="228"/>
      <c r="H77" s="247">
        <f>SUMIF('8 (Отряд)'!$J$1:$J$1982,'Нетрогать '!G32,'8 (Отряд)'!$K$1:$K$1982)</f>
        <v>0</v>
      </c>
      <c r="I77" s="228"/>
      <c r="J77" s="248"/>
      <c r="K77" s="248"/>
      <c r="L77" s="248"/>
      <c r="M77" s="248"/>
      <c r="N77" s="248"/>
      <c r="O77" s="248"/>
    </row>
    <row r="78" ht="18.75" customHeight="1" spans="1:15">
      <c r="A78" s="240"/>
      <c r="B78" s="240"/>
      <c r="C78" s="240"/>
      <c r="D78" s="240"/>
      <c r="E78" s="240"/>
      <c r="F78" s="246" t="str">
        <f>'Нетрогать '!G33</f>
        <v>ПТАБ</v>
      </c>
      <c r="G78" s="228"/>
      <c r="H78" s="247">
        <f>SUMIF('8 (Отряд)'!$J$1:$J$1982,'Нетрогать '!G33,'8 (Отряд)'!$K$1:$K$1982)</f>
        <v>0</v>
      </c>
      <c r="I78" s="228"/>
      <c r="J78" s="248"/>
      <c r="K78" s="248"/>
      <c r="L78" s="248"/>
      <c r="M78" s="248"/>
      <c r="N78" s="248"/>
      <c r="O78" s="248"/>
    </row>
    <row r="79" ht="18.75" customHeight="1" spans="1:15">
      <c r="A79" s="240"/>
      <c r="B79" s="240"/>
      <c r="C79" s="240"/>
      <c r="D79" s="240"/>
      <c r="E79" s="240"/>
      <c r="F79" s="246" t="str">
        <f>'Нетрогать '!G34</f>
        <v>ПТАБ-2</v>
      </c>
      <c r="G79" s="228"/>
      <c r="H79" s="247">
        <f>SUMIF('8 (Отряд)'!$J$1:$J$1982,'Нетрогать '!G34,'8 (Отряд)'!$K$1:$K$1982)</f>
        <v>0</v>
      </c>
      <c r="I79" s="228"/>
      <c r="J79" s="248"/>
      <c r="K79" s="248"/>
      <c r="L79" s="248"/>
      <c r="M79" s="248"/>
      <c r="N79" s="248"/>
      <c r="O79" s="248"/>
    </row>
    <row r="80" ht="18.75" customHeight="1" spans="1:9">
      <c r="A80" s="240"/>
      <c r="B80" s="240"/>
      <c r="C80" s="240"/>
      <c r="D80" s="240"/>
      <c r="E80" s="240"/>
      <c r="F80" s="246" t="str">
        <f>'Нетрогать '!G35</f>
        <v>ПТАБ-2,5 КО</v>
      </c>
      <c r="G80" s="228"/>
      <c r="H80" s="247">
        <f>SUMIF('8 (Отряд)'!$J$1:$J$1982,'Нетрогать '!G35,'8 (Отряд)'!$K$1:$K$1982)</f>
        <v>0</v>
      </c>
      <c r="I80" s="228"/>
    </row>
    <row r="81" ht="18.75" customHeight="1" spans="1:9">
      <c r="A81" s="240"/>
      <c r="B81" s="240"/>
      <c r="C81" s="240"/>
      <c r="D81" s="240"/>
      <c r="E81" s="240"/>
      <c r="F81" s="246" t="str">
        <f>'Нетрогать '!G36</f>
        <v>ПТМС</v>
      </c>
      <c r="G81" s="228"/>
      <c r="H81" s="247">
        <f>SUMIF('8 (Отряд)'!$J$1:$J$1982,'Нетрогать '!G36,'8 (Отряд)'!$K$1:$K$1982)</f>
        <v>0</v>
      </c>
      <c r="I81" s="228"/>
    </row>
    <row r="82" ht="18.75" customHeight="1" spans="1:9">
      <c r="A82" s="240"/>
      <c r="B82" s="240"/>
      <c r="C82" s="240"/>
      <c r="D82" s="240"/>
      <c r="E82" s="240"/>
      <c r="F82" s="246" t="str">
        <f>'Нетрогать '!G37</f>
        <v>ПМН4</v>
      </c>
      <c r="G82" s="228"/>
      <c r="H82" s="247">
        <f>SUMIF('8 (Отряд)'!$J$1:$J$1982,'Нетрогать '!G37,'8 (Отряд)'!$K$1:$K$1982)</f>
        <v>0</v>
      </c>
      <c r="I82" s="228"/>
    </row>
    <row r="83" ht="18.75" customHeight="1" spans="1:9">
      <c r="A83" s="240"/>
      <c r="B83" s="240"/>
      <c r="C83" s="240"/>
      <c r="D83" s="240"/>
      <c r="E83" s="240"/>
      <c r="F83" s="246" t="str">
        <f>'Нетрогать '!G38</f>
        <v>ТББ-3</v>
      </c>
      <c r="G83" s="228"/>
      <c r="H83" s="247">
        <f>SUMIF('8 (Отряд)'!$J$1:$J$1982,'Нетрогать '!G38,'8 (Отряд)'!$K$1:$K$1982)</f>
        <v>0</v>
      </c>
      <c r="I83" s="228"/>
    </row>
    <row r="84" ht="18.75" customHeight="1" spans="1:9">
      <c r="A84" s="240"/>
      <c r="B84" s="240"/>
      <c r="C84" s="240"/>
      <c r="D84" s="240"/>
      <c r="E84" s="240"/>
      <c r="F84" s="246" t="str">
        <f>'Нетрогать '!G39</f>
        <v>КОЗБЧ-1,8</v>
      </c>
      <c r="G84" s="228"/>
      <c r="H84" s="247">
        <f>SUMIF('8 (Отряд)'!$J$1:$J$1982,'Нетрогать '!G39,'8 (Отряд)'!$K$1:$K$1982)</f>
        <v>0</v>
      </c>
      <c r="I84" s="228"/>
    </row>
    <row r="85" ht="18.75" customHeight="1" spans="1:9">
      <c r="A85" s="240"/>
      <c r="B85" s="240"/>
      <c r="C85" s="240"/>
      <c r="D85" s="240"/>
      <c r="E85" s="240"/>
      <c r="F85" s="246" t="str">
        <f>'Нетрогать '!G40</f>
        <v>ТБГ-7В</v>
      </c>
      <c r="G85" s="228"/>
      <c r="H85" s="247">
        <f>SUMIF('8 (Отряд)'!$J$1:$J$1982,'Нетрогать '!G40,'8 (Отряд)'!$K$1:$K$1982)</f>
        <v>0</v>
      </c>
      <c r="I85" s="228"/>
    </row>
    <row r="86" ht="18.75" customHeight="1" spans="1:9">
      <c r="A86" s="240"/>
      <c r="B86" s="240"/>
      <c r="C86" s="240"/>
      <c r="D86" s="240"/>
      <c r="E86" s="240"/>
      <c r="F86" s="246" t="str">
        <f>'Нетрогать '!G41</f>
        <v>ПГ-16С</v>
      </c>
      <c r="G86" s="228"/>
      <c r="H86" s="247">
        <f>SUMIF('8 (Отряд)'!$J$1:$J$1982,'Нетрогать '!G41,'8 (Отряд)'!$K$1:$K$1982)</f>
        <v>0</v>
      </c>
      <c r="I86" s="228"/>
    </row>
    <row r="87" ht="18.75" customHeight="1" spans="1:9">
      <c r="A87" s="240"/>
      <c r="B87" s="240"/>
      <c r="C87" s="240"/>
      <c r="D87" s="240"/>
      <c r="E87" s="240"/>
      <c r="F87" s="246" t="str">
        <f>'Нетрогать '!G42</f>
        <v>Шипы</v>
      </c>
      <c r="G87" s="228"/>
      <c r="H87" s="247">
        <f>SUMIF('8 (Отряд)'!$J$1:$J$1982,'Нетрогать '!G42,'8 (Отряд)'!$K$1:$K$1982)</f>
        <v>0</v>
      </c>
      <c r="I87" s="228"/>
    </row>
    <row r="88" ht="18.75" customHeight="1" spans="1:9">
      <c r="A88" s="240"/>
      <c r="B88" s="228"/>
      <c r="C88" s="228"/>
      <c r="D88" s="228"/>
      <c r="E88" s="228"/>
      <c r="F88" s="246" t="str">
        <f>'Нетрогать '!G43</f>
        <v>Зажигалка</v>
      </c>
      <c r="G88" s="228"/>
      <c r="H88" s="247">
        <f>SUMIF('8 (Отряд)'!$J$1:$J$1982,'Нетрогать '!G43,'8 (Отряд)'!$K$1:$K$1982)</f>
        <v>0</v>
      </c>
      <c r="I88" s="228"/>
    </row>
    <row r="89" ht="18.75" customHeight="1" spans="1:9">
      <c r="A89" s="248"/>
      <c r="F89" s="246" t="str">
        <f>'Нетрогать '!G44</f>
        <v>АТАКА-М</v>
      </c>
      <c r="G89" s="228"/>
      <c r="H89" s="247">
        <f>SUMIF('8 (Отряд)'!$J$1:$J$1982,'Нетрогать '!G44,'8 (Отряд)'!$K$1:$K$1982)</f>
        <v>0</v>
      </c>
      <c r="I89" s="228"/>
    </row>
    <row r="90" ht="18.75" customHeight="1" spans="6:9">
      <c r="F90" s="246" t="str">
        <f>'Нетрогать '!G45</f>
        <v>9М115(МЕТИС)</v>
      </c>
      <c r="G90" s="228"/>
      <c r="H90" s="247">
        <f>SUMIF('8 (Отряд)'!$J$1:$J$1982,'Нетрогать '!G45,'8 (Отряд)'!$K$1:$K$1982)</f>
        <v>0</v>
      </c>
      <c r="I90" s="228"/>
    </row>
    <row r="91" ht="18.75" customHeight="1" spans="6:9">
      <c r="F91" s="246" t="str">
        <f>'Нетрогать '!G46</f>
        <v>КБ-80</v>
      </c>
      <c r="G91" s="228"/>
      <c r="H91" s="247">
        <f>SUMIF('8 (Отряд)'!$J$1:$J$1982,'Нетрогать '!G46,'8 (Отряд)'!$K$1:$K$1982)</f>
        <v>0</v>
      </c>
      <c r="I91" s="228"/>
    </row>
    <row r="92" ht="18.75" customHeight="1" spans="6:9">
      <c r="F92" s="246" t="str">
        <f>'Нетрогать '!G47</f>
        <v>КОТБЧ-5</v>
      </c>
      <c r="G92" s="228"/>
      <c r="H92" s="247">
        <f>SUMIF('8 (Отряд)'!$J$1:$J$1982,'Нетрогать '!G47,'8 (Отряд)'!$K$1:$K$1982)</f>
        <v>0</v>
      </c>
      <c r="I92" s="228"/>
    </row>
    <row r="93" ht="18.75" customHeight="1" spans="6:9">
      <c r="F93" s="246" t="str">
        <f>'Нетрогать '!G48</f>
        <v>КОБЧ-2,5</v>
      </c>
      <c r="G93" s="228"/>
      <c r="H93" s="247">
        <f>SUMIF('8 (Отряд)'!$J$1:$J$1982,'Нетрогать '!G48,'8 (Отряд)'!$K$1:$K$1982)</f>
        <v>0</v>
      </c>
      <c r="I93" s="228"/>
    </row>
    <row r="94" ht="18.75" customHeight="1" spans="6:9">
      <c r="F94" s="246" t="str">
        <f>'Нетрогать '!G49</f>
        <v>КБЧ-4,5(Атака)</v>
      </c>
      <c r="G94" s="228"/>
      <c r="H94" s="247">
        <f>SUMIF('8 (Отряд)'!$J$1:$J$1982,'Нетрогать '!G49,'8 (Отряд)'!$K$1:$K$1982)</f>
        <v>0</v>
      </c>
      <c r="I94" s="228"/>
    </row>
    <row r="95" ht="18.75" customHeight="1" spans="1:9">
      <c r="A95" s="248"/>
      <c r="F95" s="246" t="str">
        <f>'Нетрогать '!G50</f>
        <v>ДКРП-4</v>
      </c>
      <c r="G95" s="228"/>
      <c r="H95" s="247">
        <f>SUMIF('8 (Отряд)'!$J$1:$J$1982,'Нетрогать '!G50,'8 (Отряд)'!$K$1:$K$1982)</f>
        <v>0</v>
      </c>
      <c r="I95" s="228"/>
    </row>
    <row r="96" ht="18.75" customHeight="1" spans="6:9">
      <c r="F96" s="246" t="str">
        <f>'Нетрогать '!G51</f>
        <v>КАПЛЯ</v>
      </c>
      <c r="G96" s="228"/>
      <c r="H96" s="247">
        <f>SUMIF('8 (Отряд)'!$J$1:$J$1982,'Нетрогать '!G51,'8 (Отряд)'!$K$1:$K$1982)</f>
        <v>0</v>
      </c>
      <c r="I96" s="228"/>
    </row>
    <row r="97" ht="18.75" customHeight="1" spans="6:9">
      <c r="F97" s="246" t="str">
        <f>'Нетрогать '!G52</f>
        <v>Рапира</v>
      </c>
      <c r="G97" s="228"/>
      <c r="H97" s="247">
        <f>SUMIF('8 (Отряд)'!$J$1:$J$1982,'Нетрогать '!G52,'8 (Отряд)'!$K$1:$K$1982)</f>
        <v>0</v>
      </c>
      <c r="I97" s="228"/>
    </row>
    <row r="98" ht="18.75" customHeight="1" spans="6:9">
      <c r="F98" s="246" t="str">
        <f>'Нетрогать '!G53</f>
        <v>РГН</v>
      </c>
      <c r="G98" s="228"/>
      <c r="H98" s="247">
        <f>SUMIF('8 (Отряд)'!$J$1:$J$1982,'Нетрогать '!G53,'8 (Отряд)'!$K$1:$K$1982)</f>
        <v>0</v>
      </c>
      <c r="I98" s="228"/>
    </row>
    <row r="99" ht="18.75" customHeight="1" spans="6:9">
      <c r="F99" s="246" t="str">
        <f>'Нетрогать '!G54</f>
        <v>РКГ-3</v>
      </c>
      <c r="G99" s="228"/>
      <c r="H99" s="247">
        <f>SUMIF('8 (Отряд)'!$J$1:$J$1982,'Нетрогать '!G54,'8 (Отряд)'!$K$1:$K$1982)</f>
        <v>0</v>
      </c>
      <c r="I99" s="228"/>
    </row>
    <row r="100" ht="18.75" customHeight="1" spans="6:9">
      <c r="F100" s="246" t="str">
        <f>'Нетрогать '!G55</f>
        <v>БЧ 3.3</v>
      </c>
      <c r="G100" s="228"/>
      <c r="H100" s="247">
        <f>SUMIF('8 (Отряд)'!$J$1:$J$1982,'Нетрогать '!G55,'8 (Отряд)'!$K$1:$K$1982)</f>
        <v>0</v>
      </c>
      <c r="I100" s="228"/>
    </row>
    <row r="101" ht="18.75" customHeight="1" spans="6:9">
      <c r="F101" s="246" t="str">
        <f>'Нетрогать '!G56</f>
        <v>РКГ-3ЕМ</v>
      </c>
      <c r="G101" s="228"/>
      <c r="H101" s="247">
        <f>SUMIF('8 (Отряд)'!$J$1:$J$1982,'Нетрогать '!G56,'8 (Отряд)'!$K$1:$K$1982)</f>
        <v>0</v>
      </c>
      <c r="I101" s="228"/>
    </row>
    <row r="102" ht="18.75" customHeight="1" spans="6:9">
      <c r="F102" s="246" t="str">
        <f>'Нетрогать '!G57</f>
        <v>ОФСП-0,5</v>
      </c>
      <c r="G102" s="228"/>
      <c r="H102" s="247">
        <f>SUMIF('8 (Отряд)'!$J$1:$J$1982,'Нетрогать '!G57,'8 (Отряд)'!$K$1:$K$1982)</f>
        <v>0</v>
      </c>
      <c r="I102" s="228"/>
    </row>
    <row r="104" ht="18.75" customHeight="1" spans="2:2">
      <c r="B104" s="256" t="s">
        <v>63</v>
      </c>
    </row>
    <row r="105" ht="18.75" customHeight="1" spans="2:7">
      <c r="B105" s="257" t="s">
        <v>64</v>
      </c>
      <c r="D105" s="248"/>
      <c r="E105" s="248"/>
      <c r="F105" s="248"/>
      <c r="G105" s="248"/>
    </row>
    <row r="106" ht="18.75" customHeight="1" spans="2:6">
      <c r="B106" s="248"/>
      <c r="C106" s="248"/>
      <c r="D106" s="248"/>
      <c r="E106" s="248"/>
      <c r="F106" s="257" t="s">
        <v>65</v>
      </c>
    </row>
  </sheetData>
  <mergeCells count="263">
    <mergeCell ref="A1:I1"/>
    <mergeCell ref="A2:I2"/>
    <mergeCell ref="A3:I3"/>
    <mergeCell ref="A4:D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B11:H11"/>
    <mergeCell ref="A12:D12"/>
    <mergeCell ref="E12:F12"/>
    <mergeCell ref="G12:H12"/>
    <mergeCell ref="A13:D13"/>
    <mergeCell ref="E13:F13"/>
    <mergeCell ref="G13:H13"/>
    <mergeCell ref="A14:D14"/>
    <mergeCell ref="E14:F14"/>
    <mergeCell ref="G14:H14"/>
    <mergeCell ref="A15:D15"/>
    <mergeCell ref="E15:F15"/>
    <mergeCell ref="G15:H15"/>
    <mergeCell ref="A16:D16"/>
    <mergeCell ref="E16:F16"/>
    <mergeCell ref="G16:H16"/>
    <mergeCell ref="A17:D17"/>
    <mergeCell ref="E17:F17"/>
    <mergeCell ref="G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  <mergeCell ref="A28:D28"/>
    <mergeCell ref="E28:F28"/>
    <mergeCell ref="G28:H28"/>
    <mergeCell ref="A29:D29"/>
    <mergeCell ref="E29:F29"/>
    <mergeCell ref="G29:H29"/>
    <mergeCell ref="A30:D30"/>
    <mergeCell ref="E30:F30"/>
    <mergeCell ref="G30:H30"/>
    <mergeCell ref="A31:D31"/>
    <mergeCell ref="E31:F31"/>
    <mergeCell ref="G31:H31"/>
    <mergeCell ref="A32:D32"/>
    <mergeCell ref="E32:F32"/>
    <mergeCell ref="G32:H32"/>
    <mergeCell ref="A33:D33"/>
    <mergeCell ref="E33:F33"/>
    <mergeCell ref="G33:H33"/>
    <mergeCell ref="A34:D34"/>
    <mergeCell ref="E34:F34"/>
    <mergeCell ref="G34:H34"/>
    <mergeCell ref="A35:D35"/>
    <mergeCell ref="E35:F35"/>
    <mergeCell ref="G35:H35"/>
    <mergeCell ref="A36:D36"/>
    <mergeCell ref="E36:F36"/>
    <mergeCell ref="G36:H36"/>
    <mergeCell ref="A37:D37"/>
    <mergeCell ref="E37:F37"/>
    <mergeCell ref="G37:H37"/>
    <mergeCell ref="A38:D38"/>
    <mergeCell ref="E38:F38"/>
    <mergeCell ref="G38:H38"/>
    <mergeCell ref="A39:D39"/>
    <mergeCell ref="E39:F39"/>
    <mergeCell ref="G39:H39"/>
    <mergeCell ref="A40:D40"/>
    <mergeCell ref="E40:F40"/>
    <mergeCell ref="G40:H40"/>
    <mergeCell ref="A41:D41"/>
    <mergeCell ref="E41:F41"/>
    <mergeCell ref="G41:H41"/>
    <mergeCell ref="A42:D42"/>
    <mergeCell ref="E42:F42"/>
    <mergeCell ref="G42:H42"/>
    <mergeCell ref="A43:D43"/>
    <mergeCell ref="E43:F43"/>
    <mergeCell ref="G43:H43"/>
    <mergeCell ref="A44:D44"/>
    <mergeCell ref="E44:F44"/>
    <mergeCell ref="G44:H44"/>
    <mergeCell ref="A45:H45"/>
    <mergeCell ref="B47:I47"/>
    <mergeCell ref="B48:C48"/>
    <mergeCell ref="F48:G48"/>
    <mergeCell ref="H48:I48"/>
    <mergeCell ref="B49:C49"/>
    <mergeCell ref="F49:G49"/>
    <mergeCell ref="H49:I49"/>
    <mergeCell ref="B50:C50"/>
    <mergeCell ref="F50:G50"/>
    <mergeCell ref="H50:I50"/>
    <mergeCell ref="B51:C51"/>
    <mergeCell ref="F51:G51"/>
    <mergeCell ref="H51:I51"/>
    <mergeCell ref="B52:C52"/>
    <mergeCell ref="F52:G52"/>
    <mergeCell ref="H52:I52"/>
    <mergeCell ref="B53:C53"/>
    <mergeCell ref="F53:G53"/>
    <mergeCell ref="H53:I53"/>
    <mergeCell ref="B54:C54"/>
    <mergeCell ref="F54:G54"/>
    <mergeCell ref="H54:I54"/>
    <mergeCell ref="B55:C55"/>
    <mergeCell ref="F55:G55"/>
    <mergeCell ref="H55:I55"/>
    <mergeCell ref="B56:C56"/>
    <mergeCell ref="F56:G56"/>
    <mergeCell ref="H56:I56"/>
    <mergeCell ref="B57:C57"/>
    <mergeCell ref="F57:G57"/>
    <mergeCell ref="H57:I57"/>
    <mergeCell ref="B58:C58"/>
    <mergeCell ref="F58:G58"/>
    <mergeCell ref="H58:I58"/>
    <mergeCell ref="B59:C59"/>
    <mergeCell ref="F59:G59"/>
    <mergeCell ref="H59:I59"/>
    <mergeCell ref="B60:C60"/>
    <mergeCell ref="F60:G60"/>
    <mergeCell ref="H60:I60"/>
    <mergeCell ref="B61:C61"/>
    <mergeCell ref="F61:G61"/>
    <mergeCell ref="H61:I61"/>
    <mergeCell ref="B62:C62"/>
    <mergeCell ref="F62:G62"/>
    <mergeCell ref="H62:I62"/>
    <mergeCell ref="B63:C63"/>
    <mergeCell ref="F63:G63"/>
    <mergeCell ref="H63:I63"/>
    <mergeCell ref="B64:C64"/>
    <mergeCell ref="F64:G64"/>
    <mergeCell ref="H64:I64"/>
    <mergeCell ref="B65:C65"/>
    <mergeCell ref="F65:G65"/>
    <mergeCell ref="H65:I65"/>
    <mergeCell ref="B66:C66"/>
    <mergeCell ref="F66:G66"/>
    <mergeCell ref="H66:I66"/>
    <mergeCell ref="B67:C67"/>
    <mergeCell ref="F67:G67"/>
    <mergeCell ref="H67:I67"/>
    <mergeCell ref="B68:C68"/>
    <mergeCell ref="F68:G68"/>
    <mergeCell ref="H68:I68"/>
    <mergeCell ref="B69:C69"/>
    <mergeCell ref="F69:G69"/>
    <mergeCell ref="H69:I69"/>
    <mergeCell ref="B70:C70"/>
    <mergeCell ref="F70:G70"/>
    <mergeCell ref="H70:I70"/>
    <mergeCell ref="B71:C71"/>
    <mergeCell ref="F71:G71"/>
    <mergeCell ref="H71:I71"/>
    <mergeCell ref="B72:C72"/>
    <mergeCell ref="F72:G72"/>
    <mergeCell ref="H72:I72"/>
    <mergeCell ref="B73:C73"/>
    <mergeCell ref="F73:G73"/>
    <mergeCell ref="H73:I73"/>
    <mergeCell ref="F74:G74"/>
    <mergeCell ref="H74:I74"/>
    <mergeCell ref="F75:G75"/>
    <mergeCell ref="H75:I75"/>
    <mergeCell ref="F76:G76"/>
    <mergeCell ref="H76:I76"/>
    <mergeCell ref="F77:G77"/>
    <mergeCell ref="H77:I77"/>
    <mergeCell ref="F78:G78"/>
    <mergeCell ref="H78:I78"/>
    <mergeCell ref="F79:G79"/>
    <mergeCell ref="H79:I79"/>
    <mergeCell ref="F80:G80"/>
    <mergeCell ref="H80:I80"/>
    <mergeCell ref="F81:G81"/>
    <mergeCell ref="H81:I81"/>
    <mergeCell ref="F82:G82"/>
    <mergeCell ref="H82:I82"/>
    <mergeCell ref="F83:G83"/>
    <mergeCell ref="H83:I83"/>
    <mergeCell ref="F84:G84"/>
    <mergeCell ref="H84:I84"/>
    <mergeCell ref="F85:G85"/>
    <mergeCell ref="H85:I85"/>
    <mergeCell ref="F86:G86"/>
    <mergeCell ref="H86:I86"/>
    <mergeCell ref="F87:G87"/>
    <mergeCell ref="H87:I87"/>
    <mergeCell ref="F88:G88"/>
    <mergeCell ref="H88:I88"/>
    <mergeCell ref="F89:G89"/>
    <mergeCell ref="H89:I89"/>
    <mergeCell ref="F90:G90"/>
    <mergeCell ref="H90:I90"/>
    <mergeCell ref="F91:G91"/>
    <mergeCell ref="H91:I91"/>
    <mergeCell ref="F92:G92"/>
    <mergeCell ref="H92:I92"/>
    <mergeCell ref="F93:G93"/>
    <mergeCell ref="H93:I93"/>
    <mergeCell ref="F94:G94"/>
    <mergeCell ref="H94:I94"/>
    <mergeCell ref="F95:G95"/>
    <mergeCell ref="H95:I95"/>
    <mergeCell ref="F96:G96"/>
    <mergeCell ref="H96:I96"/>
    <mergeCell ref="F97:G97"/>
    <mergeCell ref="H97:I97"/>
    <mergeCell ref="F98:G98"/>
    <mergeCell ref="H98:I98"/>
    <mergeCell ref="F99:G99"/>
    <mergeCell ref="H99:I99"/>
    <mergeCell ref="F100:G100"/>
    <mergeCell ref="H100:I100"/>
    <mergeCell ref="F101:G101"/>
    <mergeCell ref="H101:I101"/>
    <mergeCell ref="F102:G102"/>
    <mergeCell ref="H102:I102"/>
    <mergeCell ref="B104:G104"/>
    <mergeCell ref="B105:C105"/>
    <mergeCell ref="F106:G106"/>
  </mergeCells>
  <dataValidations count="6">
    <dataValidation type="list" allowBlank="1" sqref="A17:A44 A13:D16">
      <formula1>характер</formula1>
    </dataValidation>
    <dataValidation type="list" allowBlank="1" sqref="B69:B75 B49:C68">
      <formula1>дроны</formula1>
    </dataValidation>
    <dataValidation type="list" allowBlank="1" showInputMessage="1" showErrorMessage="1" sqref="E56:E75">
      <formula1>бп</formula1>
    </dataValidation>
    <dataValidation type="list" allowBlank="1" sqref="F49:F102">
      <formula1>бп</formula1>
    </dataValidation>
    <dataValidation type="list" allowBlank="1" sqref="B6:C10 F6:G10">
      <formula1>подразделения</formula1>
    </dataValidation>
    <dataValidation type="list" allowBlank="1" sqref="D6:E10 H6:I10">
      <formula1>расчет</formula1>
    </dataValidation>
  </dataValidations>
  <pageMargins left="0.708661417322835" right="0.708661417322835" top="0.748031496062992" bottom="0.748031496062992" header="0.31496062992126" footer="0.31496062992126"/>
  <pageSetup paperSize="9" scale="86" orientation="portrait"/>
  <headerFooter/>
  <rowBreaks count="1" manualBreakCount="1">
    <brk id="46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791"/>
  <sheetViews>
    <sheetView tabSelected="1" view="pageBreakPreview" zoomScale="70" zoomScaleNormal="70" workbookViewId="0">
      <selection activeCell="P5" sqref="P5:Q35"/>
    </sheetView>
  </sheetViews>
  <sheetFormatPr defaultColWidth="11.5714285714286" defaultRowHeight="15"/>
  <cols>
    <col min="1" max="1" width="5.14285714285714" style="145" customWidth="1"/>
    <col min="2" max="2" width="8.85714285714286" style="203" customWidth="1"/>
    <col min="3" max="3" width="30.7142857142857" style="145" customWidth="1"/>
    <col min="4" max="4" width="26.1428571428571" style="145" customWidth="1"/>
    <col min="5" max="5" width="10.1428571428571" style="145" customWidth="1"/>
    <col min="6" max="6" width="9.85714285714286" style="145" customWidth="1"/>
    <col min="7" max="7" width="18.1428571428571" style="145" customWidth="1"/>
    <col min="8" max="8" width="11.7142857142857" style="145" customWidth="1"/>
    <col min="9" max="9" width="6.14285714285714" style="145" customWidth="1"/>
    <col min="10" max="10" width="12.1428571428571" style="145" customWidth="1"/>
    <col min="11" max="11" width="5.14285714285714" style="145" customWidth="1"/>
    <col min="12" max="12" width="21" style="145" customWidth="1"/>
    <col min="13" max="13" width="16.7142857142857" style="145" customWidth="1"/>
    <col min="14" max="14" width="14.4285714285714" style="145" customWidth="1"/>
    <col min="15" max="15" width="22.1428571428571" style="145" customWidth="1"/>
    <col min="16" max="16384" width="11.5714285714286" style="92" customWidth="1"/>
  </cols>
  <sheetData>
    <row r="1" ht="37.15" customHeight="1" spans="1:1">
      <c r="A1" s="204" t="s">
        <v>66</v>
      </c>
    </row>
    <row r="2" s="202" customFormat="1" ht="52.15" customHeight="1" spans="1:15">
      <c r="A2" s="38" t="s">
        <v>67</v>
      </c>
      <c r="B2" s="38" t="s">
        <v>68</v>
      </c>
      <c r="C2" s="38" t="s">
        <v>69</v>
      </c>
      <c r="D2" s="38" t="s">
        <v>70</v>
      </c>
      <c r="E2" s="38" t="s">
        <v>71</v>
      </c>
      <c r="F2" s="39"/>
      <c r="G2" s="38" t="s">
        <v>72</v>
      </c>
      <c r="H2" s="38" t="s">
        <v>73</v>
      </c>
      <c r="I2" s="211" t="s">
        <v>74</v>
      </c>
      <c r="J2" s="38" t="s">
        <v>75</v>
      </c>
      <c r="K2" s="38" t="s">
        <v>76</v>
      </c>
      <c r="L2" s="38" t="s">
        <v>77</v>
      </c>
      <c r="M2" s="38" t="s">
        <v>78</v>
      </c>
      <c r="N2" s="38" t="s">
        <v>79</v>
      </c>
      <c r="O2" s="38" t="s">
        <v>80</v>
      </c>
    </row>
    <row r="3" s="202" customFormat="1" ht="46.9" customHeight="1" spans="1:15">
      <c r="A3" s="7"/>
      <c r="B3" s="7"/>
      <c r="C3" s="7"/>
      <c r="D3" s="7"/>
      <c r="E3" s="38" t="s">
        <v>81</v>
      </c>
      <c r="F3" s="38" t="s">
        <v>82</v>
      </c>
      <c r="G3" s="7"/>
      <c r="H3" s="7"/>
      <c r="I3" s="8"/>
      <c r="J3" s="7"/>
      <c r="K3" s="7"/>
      <c r="L3" s="7"/>
      <c r="M3" s="7"/>
      <c r="N3" s="7"/>
      <c r="O3" s="7"/>
    </row>
    <row r="4" s="1" customFormat="1" ht="35.25" customHeight="1" spans="1:15">
      <c r="A4" s="205">
        <v>0</v>
      </c>
      <c r="B4" s="206" t="s">
        <v>83</v>
      </c>
      <c r="C4" s="205" t="s">
        <v>43</v>
      </c>
      <c r="D4" s="205" t="s">
        <v>84</v>
      </c>
      <c r="E4" s="205"/>
      <c r="F4" s="205"/>
      <c r="G4" s="205"/>
      <c r="H4" s="205" t="s">
        <v>85</v>
      </c>
      <c r="I4" s="205"/>
      <c r="J4" s="205"/>
      <c r="K4" s="205"/>
      <c r="L4" s="205"/>
      <c r="M4" s="212" t="s">
        <v>86</v>
      </c>
      <c r="N4" s="213" t="s">
        <v>87</v>
      </c>
      <c r="O4" s="205" t="s">
        <v>88</v>
      </c>
    </row>
    <row r="5" s="1" customFormat="1" ht="35.25" customHeight="1" spans="1:15">
      <c r="A5" s="207">
        <v>1</v>
      </c>
      <c r="B5" s="208"/>
      <c r="C5" s="209"/>
      <c r="D5" s="210"/>
      <c r="E5" s="210"/>
      <c r="F5" s="210"/>
      <c r="G5" s="209"/>
      <c r="H5" s="209"/>
      <c r="I5" s="214"/>
      <c r="J5" s="214"/>
      <c r="K5" s="214"/>
      <c r="L5" s="215"/>
      <c r="M5" s="214"/>
      <c r="N5" s="214"/>
      <c r="O5" s="205" t="s">
        <v>88</v>
      </c>
    </row>
    <row r="6" s="1" customFormat="1" ht="35.25" customHeight="1" spans="1:15">
      <c r="A6" s="207">
        <v>2</v>
      </c>
      <c r="B6" s="208"/>
      <c r="C6" s="209"/>
      <c r="D6" s="210"/>
      <c r="E6" s="210"/>
      <c r="F6" s="210"/>
      <c r="G6" s="209"/>
      <c r="H6" s="209"/>
      <c r="I6" s="214"/>
      <c r="J6" s="214"/>
      <c r="K6" s="214"/>
      <c r="L6" s="215"/>
      <c r="M6" s="214"/>
      <c r="N6" s="214"/>
      <c r="O6" s="205" t="s">
        <v>88</v>
      </c>
    </row>
    <row r="7" s="1" customFormat="1" ht="35.25" customHeight="1" spans="1:15">
      <c r="A7" s="207">
        <v>3</v>
      </c>
      <c r="B7" s="208"/>
      <c r="C7" s="209"/>
      <c r="D7" s="210"/>
      <c r="E7" s="210"/>
      <c r="F7" s="210"/>
      <c r="G7" s="209"/>
      <c r="H7" s="209"/>
      <c r="I7" s="214"/>
      <c r="J7" s="214"/>
      <c r="K7" s="214"/>
      <c r="L7" s="215"/>
      <c r="M7" s="214"/>
      <c r="N7" s="214"/>
      <c r="O7" s="205" t="s">
        <v>88</v>
      </c>
    </row>
    <row r="8" s="1" customFormat="1" ht="35.25" customHeight="1" spans="1:15">
      <c r="A8" s="207">
        <v>4</v>
      </c>
      <c r="B8" s="208"/>
      <c r="C8" s="209"/>
      <c r="D8" s="210"/>
      <c r="E8" s="210"/>
      <c r="F8" s="210"/>
      <c r="G8" s="209"/>
      <c r="H8" s="209"/>
      <c r="I8" s="214"/>
      <c r="J8" s="214"/>
      <c r="K8" s="214"/>
      <c r="L8" s="215"/>
      <c r="M8" s="214"/>
      <c r="N8" s="214"/>
      <c r="O8" s="205" t="s">
        <v>88</v>
      </c>
    </row>
    <row r="9" s="1" customFormat="1" ht="35.25" customHeight="1" spans="1:15">
      <c r="A9" s="207">
        <v>5</v>
      </c>
      <c r="B9" s="208"/>
      <c r="C9" s="209"/>
      <c r="D9" s="210"/>
      <c r="E9" s="210"/>
      <c r="F9" s="210"/>
      <c r="G9" s="209"/>
      <c r="H9" s="209"/>
      <c r="I9" s="214"/>
      <c r="J9" s="214"/>
      <c r="K9" s="214"/>
      <c r="L9" s="215"/>
      <c r="M9" s="214"/>
      <c r="N9" s="214"/>
      <c r="O9" s="205" t="s">
        <v>88</v>
      </c>
    </row>
    <row r="10" s="1" customFormat="1" ht="35.25" customHeight="1" spans="1:15">
      <c r="A10" s="207">
        <v>6</v>
      </c>
      <c r="B10" s="208"/>
      <c r="C10" s="209"/>
      <c r="D10" s="210"/>
      <c r="E10" s="210"/>
      <c r="F10" s="210"/>
      <c r="G10" s="209"/>
      <c r="H10" s="209"/>
      <c r="I10" s="214"/>
      <c r="J10" s="214"/>
      <c r="K10" s="214"/>
      <c r="L10" s="215"/>
      <c r="M10" s="214"/>
      <c r="N10" s="214"/>
      <c r="O10" s="205" t="s">
        <v>88</v>
      </c>
    </row>
    <row r="11" s="1" customFormat="1" ht="35.25" customHeight="1" spans="1:15">
      <c r="A11" s="207">
        <v>7</v>
      </c>
      <c r="B11" s="208"/>
      <c r="C11" s="209"/>
      <c r="D11" s="210"/>
      <c r="E11" s="210"/>
      <c r="F11" s="210"/>
      <c r="G11" s="209"/>
      <c r="H11" s="209"/>
      <c r="I11" s="214"/>
      <c r="J11" s="214"/>
      <c r="K11" s="214"/>
      <c r="L11" s="215"/>
      <c r="M11" s="214"/>
      <c r="N11" s="214"/>
      <c r="O11" s="205" t="s">
        <v>88</v>
      </c>
    </row>
    <row r="12" s="1" customFormat="1" ht="35.25" customHeight="1" spans="1:15">
      <c r="A12" s="207">
        <v>8</v>
      </c>
      <c r="B12" s="208"/>
      <c r="C12" s="209"/>
      <c r="D12" s="210"/>
      <c r="E12" s="210"/>
      <c r="F12" s="210"/>
      <c r="G12" s="209"/>
      <c r="H12" s="209"/>
      <c r="I12" s="214"/>
      <c r="J12" s="214"/>
      <c r="K12" s="214"/>
      <c r="L12" s="215"/>
      <c r="M12" s="214"/>
      <c r="N12" s="214"/>
      <c r="O12" s="205" t="s">
        <v>88</v>
      </c>
    </row>
    <row r="13" s="1" customFormat="1" ht="35.25" customHeight="1" spans="1:15">
      <c r="A13" s="207">
        <v>9</v>
      </c>
      <c r="B13" s="208"/>
      <c r="C13" s="209"/>
      <c r="D13" s="210"/>
      <c r="E13" s="210"/>
      <c r="F13" s="210"/>
      <c r="G13" s="209"/>
      <c r="H13" s="209"/>
      <c r="I13" s="214"/>
      <c r="J13" s="214"/>
      <c r="K13" s="214"/>
      <c r="L13" s="215"/>
      <c r="M13" s="214"/>
      <c r="N13" s="214"/>
      <c r="O13" s="205" t="s">
        <v>88</v>
      </c>
    </row>
    <row r="14" s="1" customFormat="1" ht="35.25" customHeight="1" spans="1:15">
      <c r="A14" s="207">
        <v>10</v>
      </c>
      <c r="B14" s="208"/>
      <c r="C14" s="209"/>
      <c r="D14" s="210"/>
      <c r="E14" s="210"/>
      <c r="F14" s="210"/>
      <c r="G14" s="209"/>
      <c r="H14" s="209"/>
      <c r="I14" s="214"/>
      <c r="J14" s="214"/>
      <c r="K14" s="214"/>
      <c r="L14" s="215"/>
      <c r="M14" s="214"/>
      <c r="N14" s="214"/>
      <c r="O14" s="205" t="s">
        <v>88</v>
      </c>
    </row>
    <row r="15" s="1" customFormat="1" ht="34.9" customHeight="1" spans="1:15">
      <c r="A15" s="207">
        <v>11</v>
      </c>
      <c r="B15" s="208"/>
      <c r="C15" s="209"/>
      <c r="D15" s="210"/>
      <c r="E15" s="210"/>
      <c r="F15" s="210"/>
      <c r="G15" s="209"/>
      <c r="H15" s="209"/>
      <c r="I15" s="214"/>
      <c r="J15" s="214"/>
      <c r="K15" s="214"/>
      <c r="L15" s="215"/>
      <c r="M15" s="214"/>
      <c r="N15" s="214"/>
      <c r="O15" s="205" t="s">
        <v>88</v>
      </c>
    </row>
    <row r="16" s="1" customFormat="1" ht="35.25" customHeight="1" spans="1:15">
      <c r="A16" s="207">
        <v>12</v>
      </c>
      <c r="B16" s="208"/>
      <c r="C16" s="209"/>
      <c r="D16" s="210"/>
      <c r="E16" s="210"/>
      <c r="F16" s="210"/>
      <c r="G16" s="209"/>
      <c r="H16" s="209"/>
      <c r="I16" s="214"/>
      <c r="J16" s="214"/>
      <c r="K16" s="214"/>
      <c r="L16" s="215"/>
      <c r="M16" s="214"/>
      <c r="N16" s="214"/>
      <c r="O16" s="205" t="s">
        <v>88</v>
      </c>
    </row>
    <row r="17" s="1" customFormat="1" ht="35.25" customHeight="1" spans="1:15">
      <c r="A17" s="207">
        <v>13</v>
      </c>
      <c r="B17" s="208"/>
      <c r="C17" s="209"/>
      <c r="D17" s="210"/>
      <c r="E17" s="210"/>
      <c r="F17" s="210"/>
      <c r="G17" s="209"/>
      <c r="H17" s="209"/>
      <c r="I17" s="214"/>
      <c r="J17" s="214"/>
      <c r="K17" s="214"/>
      <c r="L17" s="215"/>
      <c r="M17" s="214"/>
      <c r="N17" s="214"/>
      <c r="O17" s="205" t="s">
        <v>88</v>
      </c>
    </row>
    <row r="18" s="1" customFormat="1" ht="35.25" customHeight="1" spans="1:15">
      <c r="A18" s="207">
        <v>14</v>
      </c>
      <c r="B18" s="208"/>
      <c r="C18" s="209"/>
      <c r="D18" s="210"/>
      <c r="E18" s="210"/>
      <c r="F18" s="210"/>
      <c r="G18" s="209"/>
      <c r="H18" s="209"/>
      <c r="I18" s="214"/>
      <c r="J18" s="214"/>
      <c r="K18" s="214"/>
      <c r="L18" s="215"/>
      <c r="M18" s="214"/>
      <c r="N18" s="214"/>
      <c r="O18" s="205" t="s">
        <v>88</v>
      </c>
    </row>
    <row r="19" s="1" customFormat="1" ht="35.25" customHeight="1" spans="1:15">
      <c r="A19" s="207">
        <v>15</v>
      </c>
      <c r="B19" s="208"/>
      <c r="C19" s="209"/>
      <c r="D19" s="210"/>
      <c r="E19" s="210"/>
      <c r="F19" s="210"/>
      <c r="G19" s="209"/>
      <c r="H19" s="209"/>
      <c r="I19" s="214"/>
      <c r="J19" s="214"/>
      <c r="K19" s="214"/>
      <c r="L19" s="215"/>
      <c r="M19" s="214"/>
      <c r="N19" s="214"/>
      <c r="O19" s="205" t="s">
        <v>88</v>
      </c>
    </row>
    <row r="20" s="1" customFormat="1" ht="35.25" customHeight="1" spans="1:15">
      <c r="A20" s="207">
        <v>16</v>
      </c>
      <c r="B20" s="208"/>
      <c r="C20" s="209"/>
      <c r="D20" s="210"/>
      <c r="E20" s="210"/>
      <c r="F20" s="210"/>
      <c r="G20" s="209"/>
      <c r="H20" s="209"/>
      <c r="I20" s="214"/>
      <c r="J20" s="214"/>
      <c r="K20" s="214"/>
      <c r="L20" s="215"/>
      <c r="M20" s="214"/>
      <c r="N20" s="214"/>
      <c r="O20" s="205" t="s">
        <v>88</v>
      </c>
    </row>
    <row r="21" s="1" customFormat="1" ht="35.25" customHeight="1" spans="1:15">
      <c r="A21" s="207">
        <v>17</v>
      </c>
      <c r="B21" s="208"/>
      <c r="C21" s="209"/>
      <c r="D21" s="210"/>
      <c r="E21" s="210"/>
      <c r="F21" s="210"/>
      <c r="G21" s="209"/>
      <c r="H21" s="209"/>
      <c r="I21" s="214"/>
      <c r="J21" s="214"/>
      <c r="K21" s="214"/>
      <c r="L21" s="215"/>
      <c r="M21" s="214"/>
      <c r="N21" s="214"/>
      <c r="O21" s="205" t="s">
        <v>88</v>
      </c>
    </row>
    <row r="22" s="1" customFormat="1" ht="35.25" customHeight="1" spans="1:15">
      <c r="A22" s="207">
        <v>18</v>
      </c>
      <c r="B22" s="208"/>
      <c r="C22" s="209"/>
      <c r="D22" s="210"/>
      <c r="E22" s="210"/>
      <c r="F22" s="210"/>
      <c r="G22" s="209"/>
      <c r="H22" s="209"/>
      <c r="I22" s="214"/>
      <c r="J22" s="214"/>
      <c r="K22" s="214"/>
      <c r="L22" s="215"/>
      <c r="M22" s="214"/>
      <c r="N22" s="214"/>
      <c r="O22" s="205" t="s">
        <v>88</v>
      </c>
    </row>
    <row r="23" s="1" customFormat="1" ht="35.25" customHeight="1" spans="1:15">
      <c r="A23" s="207">
        <v>19</v>
      </c>
      <c r="B23" s="208"/>
      <c r="C23" s="209"/>
      <c r="D23" s="210"/>
      <c r="E23" s="210"/>
      <c r="F23" s="210"/>
      <c r="G23" s="209"/>
      <c r="H23" s="209"/>
      <c r="I23" s="214"/>
      <c r="J23" s="214"/>
      <c r="K23" s="214"/>
      <c r="L23" s="215"/>
      <c r="M23" s="214"/>
      <c r="N23" s="214"/>
      <c r="O23" s="205" t="s">
        <v>88</v>
      </c>
    </row>
    <row r="24" s="1" customFormat="1" ht="35.25" customHeight="1" spans="1:15">
      <c r="A24" s="207">
        <v>20</v>
      </c>
      <c r="B24" s="208"/>
      <c r="C24" s="209"/>
      <c r="D24" s="210"/>
      <c r="E24" s="210"/>
      <c r="F24" s="210"/>
      <c r="G24" s="209"/>
      <c r="H24" s="209"/>
      <c r="I24" s="214"/>
      <c r="J24" s="214"/>
      <c r="K24" s="214"/>
      <c r="L24" s="215"/>
      <c r="M24" s="214"/>
      <c r="N24" s="214"/>
      <c r="O24" s="205" t="s">
        <v>88</v>
      </c>
    </row>
    <row r="25" s="1" customFormat="1" ht="35.25" customHeight="1" spans="1:15">
      <c r="A25" s="207">
        <v>21</v>
      </c>
      <c r="B25" s="208"/>
      <c r="C25" s="209"/>
      <c r="D25" s="210"/>
      <c r="E25" s="210"/>
      <c r="F25" s="210"/>
      <c r="G25" s="209"/>
      <c r="H25" s="209"/>
      <c r="I25" s="214"/>
      <c r="J25" s="214"/>
      <c r="K25" s="214"/>
      <c r="L25" s="215"/>
      <c r="M25" s="214"/>
      <c r="N25" s="214"/>
      <c r="O25" s="205" t="s">
        <v>88</v>
      </c>
    </row>
    <row r="26" s="1" customFormat="1" ht="35.25" customHeight="1" spans="1:15">
      <c r="A26" s="207">
        <v>22</v>
      </c>
      <c r="B26" s="208"/>
      <c r="C26" s="209"/>
      <c r="D26" s="210"/>
      <c r="E26" s="210"/>
      <c r="F26" s="210"/>
      <c r="G26" s="209"/>
      <c r="H26" s="209"/>
      <c r="I26" s="214"/>
      <c r="J26" s="214"/>
      <c r="K26" s="214"/>
      <c r="L26" s="215"/>
      <c r="M26" s="214"/>
      <c r="N26" s="214"/>
      <c r="O26" s="205" t="s">
        <v>88</v>
      </c>
    </row>
    <row r="27" s="1" customFormat="1" ht="35.25" customHeight="1" spans="1:15">
      <c r="A27" s="207">
        <v>23</v>
      </c>
      <c r="B27" s="208"/>
      <c r="C27" s="209"/>
      <c r="D27" s="210"/>
      <c r="E27" s="210"/>
      <c r="F27" s="210"/>
      <c r="G27" s="209"/>
      <c r="H27" s="209"/>
      <c r="I27" s="214"/>
      <c r="J27" s="214"/>
      <c r="K27" s="214"/>
      <c r="L27" s="215"/>
      <c r="M27" s="214"/>
      <c r="N27" s="214"/>
      <c r="O27" s="205" t="s">
        <v>88</v>
      </c>
    </row>
    <row r="28" s="1" customFormat="1" ht="35.25" customHeight="1" spans="1:15">
      <c r="A28" s="207">
        <v>24</v>
      </c>
      <c r="B28" s="208"/>
      <c r="C28" s="209"/>
      <c r="D28" s="210"/>
      <c r="E28" s="210"/>
      <c r="F28" s="210"/>
      <c r="G28" s="209"/>
      <c r="H28" s="209"/>
      <c r="I28" s="214"/>
      <c r="J28" s="214"/>
      <c r="K28" s="214"/>
      <c r="L28" s="215"/>
      <c r="M28" s="214"/>
      <c r="N28" s="214"/>
      <c r="O28" s="205" t="s">
        <v>88</v>
      </c>
    </row>
    <row r="29" s="1" customFormat="1" ht="35.25" customHeight="1" spans="1:15">
      <c r="A29" s="207">
        <v>25</v>
      </c>
      <c r="B29" s="208"/>
      <c r="C29" s="209"/>
      <c r="D29" s="210"/>
      <c r="E29" s="210"/>
      <c r="F29" s="210"/>
      <c r="G29" s="209"/>
      <c r="H29" s="209"/>
      <c r="I29" s="214"/>
      <c r="J29" s="214"/>
      <c r="K29" s="214"/>
      <c r="L29" s="215"/>
      <c r="M29" s="214"/>
      <c r="N29" s="214"/>
      <c r="O29" s="205" t="s">
        <v>88</v>
      </c>
    </row>
    <row r="30" s="1" customFormat="1" ht="35.25" customHeight="1" spans="1:15">
      <c r="A30" s="207">
        <v>26</v>
      </c>
      <c r="B30" s="208"/>
      <c r="C30" s="209"/>
      <c r="D30" s="210"/>
      <c r="E30" s="210"/>
      <c r="F30" s="210"/>
      <c r="G30" s="209"/>
      <c r="H30" s="209"/>
      <c r="I30" s="214"/>
      <c r="J30" s="214"/>
      <c r="K30" s="214"/>
      <c r="L30" s="215"/>
      <c r="M30" s="214"/>
      <c r="N30" s="214"/>
      <c r="O30" s="205" t="s">
        <v>88</v>
      </c>
    </row>
    <row r="31" s="1" customFormat="1" ht="35.25" customHeight="1" spans="1:15">
      <c r="A31" s="207">
        <v>27</v>
      </c>
      <c r="B31" s="208"/>
      <c r="C31" s="209"/>
      <c r="D31" s="210"/>
      <c r="E31" s="210"/>
      <c r="F31" s="210"/>
      <c r="G31" s="209"/>
      <c r="H31" s="209"/>
      <c r="I31" s="214"/>
      <c r="J31" s="214"/>
      <c r="K31" s="214"/>
      <c r="L31" s="215"/>
      <c r="M31" s="214"/>
      <c r="N31" s="214"/>
      <c r="O31" s="205" t="s">
        <v>88</v>
      </c>
    </row>
    <row r="32" s="1" customFormat="1" ht="35.25" customHeight="1" spans="1:15">
      <c r="A32" s="207">
        <v>28</v>
      </c>
      <c r="B32" s="208"/>
      <c r="C32" s="209"/>
      <c r="D32" s="210"/>
      <c r="E32" s="210"/>
      <c r="F32" s="210"/>
      <c r="G32" s="209"/>
      <c r="H32" s="209"/>
      <c r="I32" s="214"/>
      <c r="J32" s="214"/>
      <c r="K32" s="214"/>
      <c r="L32" s="215"/>
      <c r="M32" s="214"/>
      <c r="N32" s="214"/>
      <c r="O32" s="205" t="s">
        <v>88</v>
      </c>
    </row>
    <row r="33" s="1" customFormat="1" ht="35.25" customHeight="1" spans="1:15">
      <c r="A33" s="207">
        <v>29</v>
      </c>
      <c r="B33" s="208"/>
      <c r="C33" s="209"/>
      <c r="D33" s="210"/>
      <c r="E33" s="210"/>
      <c r="F33" s="210"/>
      <c r="G33" s="209"/>
      <c r="H33" s="209"/>
      <c r="I33" s="214"/>
      <c r="J33" s="214"/>
      <c r="K33" s="214"/>
      <c r="L33" s="215"/>
      <c r="M33" s="214"/>
      <c r="N33" s="214"/>
      <c r="O33" s="205" t="s">
        <v>88</v>
      </c>
    </row>
    <row r="34" s="1" customFormat="1" ht="35.25" customHeight="1" spans="1:15">
      <c r="A34" s="207">
        <v>30</v>
      </c>
      <c r="B34" s="208"/>
      <c r="C34" s="209"/>
      <c r="D34" s="210"/>
      <c r="E34" s="210"/>
      <c r="F34" s="210"/>
      <c r="G34" s="209"/>
      <c r="H34" s="209"/>
      <c r="I34" s="214"/>
      <c r="J34" s="214"/>
      <c r="K34" s="214"/>
      <c r="L34" s="215"/>
      <c r="M34" s="214"/>
      <c r="N34" s="214"/>
      <c r="O34" s="205" t="s">
        <v>88</v>
      </c>
    </row>
    <row r="35" s="1" customFormat="1" ht="35.25" customHeight="1" spans="1:15">
      <c r="A35" s="207">
        <v>31</v>
      </c>
      <c r="B35" s="208"/>
      <c r="C35" s="209"/>
      <c r="D35" s="210"/>
      <c r="E35" s="210"/>
      <c r="F35" s="210"/>
      <c r="G35" s="209"/>
      <c r="H35" s="209"/>
      <c r="I35" s="214"/>
      <c r="J35" s="214"/>
      <c r="K35" s="214"/>
      <c r="L35" s="215"/>
      <c r="M35" s="214"/>
      <c r="N35" s="214"/>
      <c r="O35" s="205" t="s">
        <v>88</v>
      </c>
    </row>
    <row r="36" s="1" customFormat="1" ht="35.25" customHeight="1" spans="1:15">
      <c r="A36" s="207">
        <v>32</v>
      </c>
      <c r="B36" s="208"/>
      <c r="C36" s="209"/>
      <c r="D36" s="210"/>
      <c r="E36" s="210"/>
      <c r="F36" s="210"/>
      <c r="G36" s="209"/>
      <c r="H36" s="209"/>
      <c r="I36" s="214"/>
      <c r="J36" s="214"/>
      <c r="K36" s="214"/>
      <c r="L36" s="215"/>
      <c r="M36" s="214"/>
      <c r="N36" s="214"/>
      <c r="O36" s="205" t="s">
        <v>88</v>
      </c>
    </row>
    <row r="37" s="1" customFormat="1" ht="35.25" customHeight="1" spans="1:15">
      <c r="A37" s="207">
        <v>33</v>
      </c>
      <c r="B37" s="208"/>
      <c r="C37" s="209"/>
      <c r="D37" s="210"/>
      <c r="E37" s="210"/>
      <c r="F37" s="210"/>
      <c r="G37" s="209"/>
      <c r="H37" s="209"/>
      <c r="I37" s="214"/>
      <c r="J37" s="214"/>
      <c r="K37" s="214"/>
      <c r="L37" s="215"/>
      <c r="M37" s="214"/>
      <c r="N37" s="214"/>
      <c r="O37" s="205" t="s">
        <v>88</v>
      </c>
    </row>
    <row r="38" s="1" customFormat="1" ht="35.25" customHeight="1" spans="1:15">
      <c r="A38" s="207">
        <v>34</v>
      </c>
      <c r="B38" s="208"/>
      <c r="C38" s="209"/>
      <c r="D38" s="210"/>
      <c r="E38" s="210"/>
      <c r="F38" s="210"/>
      <c r="G38" s="209"/>
      <c r="H38" s="209"/>
      <c r="I38" s="214"/>
      <c r="J38" s="214"/>
      <c r="K38" s="214"/>
      <c r="L38" s="215"/>
      <c r="M38" s="214"/>
      <c r="N38" s="214"/>
      <c r="O38" s="205" t="s">
        <v>88</v>
      </c>
    </row>
    <row r="39" s="1" customFormat="1" ht="35.25" customHeight="1" spans="1:15">
      <c r="A39" s="207">
        <v>35</v>
      </c>
      <c r="B39" s="208"/>
      <c r="C39" s="209"/>
      <c r="D39" s="210"/>
      <c r="E39" s="210"/>
      <c r="F39" s="210"/>
      <c r="G39" s="209"/>
      <c r="H39" s="209"/>
      <c r="I39" s="214"/>
      <c r="J39" s="214"/>
      <c r="K39" s="214"/>
      <c r="L39" s="215"/>
      <c r="M39" s="214"/>
      <c r="N39" s="214"/>
      <c r="O39" s="205" t="s">
        <v>88</v>
      </c>
    </row>
    <row r="40" s="1" customFormat="1" ht="35.25" customHeight="1" spans="1:15">
      <c r="A40" s="207">
        <v>36</v>
      </c>
      <c r="B40" s="208"/>
      <c r="C40" s="209"/>
      <c r="D40" s="210"/>
      <c r="E40" s="210"/>
      <c r="F40" s="210"/>
      <c r="G40" s="209"/>
      <c r="H40" s="209"/>
      <c r="I40" s="214"/>
      <c r="J40" s="214"/>
      <c r="K40" s="214"/>
      <c r="L40" s="215"/>
      <c r="M40" s="214"/>
      <c r="N40" s="214"/>
      <c r="O40" s="205" t="s">
        <v>88</v>
      </c>
    </row>
    <row r="41" s="1" customFormat="1" ht="35.25" customHeight="1" spans="1:15">
      <c r="A41" s="207">
        <v>37</v>
      </c>
      <c r="B41" s="208"/>
      <c r="C41" s="209"/>
      <c r="D41" s="210"/>
      <c r="E41" s="210"/>
      <c r="F41" s="210"/>
      <c r="G41" s="209"/>
      <c r="H41" s="209"/>
      <c r="I41" s="214"/>
      <c r="J41" s="214"/>
      <c r="K41" s="214"/>
      <c r="L41" s="215"/>
      <c r="M41" s="214"/>
      <c r="N41" s="214"/>
      <c r="O41" s="205" t="s">
        <v>88</v>
      </c>
    </row>
    <row r="42" s="1" customFormat="1" ht="35.25" customHeight="1" spans="1:15">
      <c r="A42" s="207">
        <v>38</v>
      </c>
      <c r="B42" s="208"/>
      <c r="C42" s="209"/>
      <c r="D42" s="210"/>
      <c r="E42" s="210"/>
      <c r="F42" s="210"/>
      <c r="G42" s="209"/>
      <c r="H42" s="209"/>
      <c r="I42" s="214"/>
      <c r="J42" s="214"/>
      <c r="K42" s="214"/>
      <c r="L42" s="215"/>
      <c r="M42" s="214"/>
      <c r="N42" s="214"/>
      <c r="O42" s="205" t="s">
        <v>88</v>
      </c>
    </row>
    <row r="43" s="1" customFormat="1" ht="35.25" customHeight="1" spans="1:15">
      <c r="A43" s="207">
        <v>39</v>
      </c>
      <c r="B43" s="208"/>
      <c r="C43" s="209"/>
      <c r="D43" s="210"/>
      <c r="E43" s="210"/>
      <c r="F43" s="210"/>
      <c r="G43" s="209"/>
      <c r="H43" s="209"/>
      <c r="I43" s="214"/>
      <c r="J43" s="214"/>
      <c r="K43" s="214"/>
      <c r="L43" s="215"/>
      <c r="M43" s="214"/>
      <c r="N43" s="214"/>
      <c r="O43" s="205" t="s">
        <v>88</v>
      </c>
    </row>
    <row r="44" s="1" customFormat="1" ht="35.25" customHeight="1" spans="1:15">
      <c r="A44" s="207">
        <v>40</v>
      </c>
      <c r="B44" s="208"/>
      <c r="C44" s="209"/>
      <c r="D44" s="210"/>
      <c r="E44" s="210"/>
      <c r="F44" s="210"/>
      <c r="G44" s="209"/>
      <c r="H44" s="209"/>
      <c r="I44" s="214"/>
      <c r="J44" s="214"/>
      <c r="K44" s="214"/>
      <c r="L44" s="215"/>
      <c r="M44" s="214"/>
      <c r="N44" s="214"/>
      <c r="O44" s="205" t="s">
        <v>88</v>
      </c>
    </row>
    <row r="45" s="1" customFormat="1" ht="35.25" customHeight="1" spans="1:15">
      <c r="A45" s="207">
        <v>41</v>
      </c>
      <c r="B45" s="208"/>
      <c r="C45" s="209"/>
      <c r="D45" s="210"/>
      <c r="E45" s="210"/>
      <c r="F45" s="210"/>
      <c r="G45" s="209"/>
      <c r="H45" s="209"/>
      <c r="I45" s="214"/>
      <c r="J45" s="214"/>
      <c r="K45" s="214"/>
      <c r="L45" s="215"/>
      <c r="M45" s="214"/>
      <c r="N45" s="214"/>
      <c r="O45" s="205" t="s">
        <v>88</v>
      </c>
    </row>
    <row r="46" s="1" customFormat="1" ht="35.25" customHeight="1" spans="1:15">
      <c r="A46" s="207">
        <v>42</v>
      </c>
      <c r="B46" s="208"/>
      <c r="C46" s="209"/>
      <c r="D46" s="210"/>
      <c r="E46" s="210"/>
      <c r="F46" s="210"/>
      <c r="G46" s="209"/>
      <c r="H46" s="209"/>
      <c r="I46" s="214"/>
      <c r="J46" s="214"/>
      <c r="K46" s="214"/>
      <c r="L46" s="215"/>
      <c r="M46" s="214"/>
      <c r="N46" s="214"/>
      <c r="O46" s="205" t="s">
        <v>88</v>
      </c>
    </row>
    <row r="47" s="1" customFormat="1" ht="35.25" customHeight="1" spans="1:15">
      <c r="A47" s="207">
        <v>43</v>
      </c>
      <c r="B47" s="208"/>
      <c r="C47" s="209"/>
      <c r="D47" s="210"/>
      <c r="E47" s="210"/>
      <c r="F47" s="210"/>
      <c r="G47" s="209"/>
      <c r="H47" s="209"/>
      <c r="I47" s="214"/>
      <c r="J47" s="214"/>
      <c r="K47" s="214"/>
      <c r="L47" s="215"/>
      <c r="M47" s="214"/>
      <c r="N47" s="214"/>
      <c r="O47" s="205" t="s">
        <v>88</v>
      </c>
    </row>
    <row r="48" s="1" customFormat="1" ht="35.25" customHeight="1" spans="1:15">
      <c r="A48" s="207">
        <v>44</v>
      </c>
      <c r="B48" s="208"/>
      <c r="C48" s="209"/>
      <c r="D48" s="210"/>
      <c r="E48" s="210"/>
      <c r="F48" s="210"/>
      <c r="G48" s="209"/>
      <c r="H48" s="209"/>
      <c r="I48" s="214"/>
      <c r="J48" s="214"/>
      <c r="K48" s="214"/>
      <c r="L48" s="215"/>
      <c r="M48" s="214"/>
      <c r="N48" s="214"/>
      <c r="O48" s="205" t="s">
        <v>88</v>
      </c>
    </row>
    <row r="49" s="1" customFormat="1" ht="35.25" customHeight="1" spans="1:15">
      <c r="A49" s="207">
        <v>45</v>
      </c>
      <c r="B49" s="208"/>
      <c r="C49" s="209"/>
      <c r="D49" s="210"/>
      <c r="E49" s="210"/>
      <c r="F49" s="210"/>
      <c r="G49" s="209"/>
      <c r="H49" s="209"/>
      <c r="I49" s="214"/>
      <c r="J49" s="214"/>
      <c r="K49" s="214"/>
      <c r="L49" s="215"/>
      <c r="M49" s="214"/>
      <c r="N49" s="214"/>
      <c r="O49" s="205" t="s">
        <v>88</v>
      </c>
    </row>
    <row r="50" s="1" customFormat="1" ht="35.25" customHeight="1" spans="1:15">
      <c r="A50" s="207">
        <v>46</v>
      </c>
      <c r="B50" s="208"/>
      <c r="C50" s="209"/>
      <c r="D50" s="210"/>
      <c r="E50" s="210"/>
      <c r="F50" s="210"/>
      <c r="G50" s="209"/>
      <c r="H50" s="209"/>
      <c r="I50" s="214"/>
      <c r="J50" s="214"/>
      <c r="K50" s="214"/>
      <c r="L50" s="215"/>
      <c r="M50" s="214"/>
      <c r="N50" s="214"/>
      <c r="O50" s="205" t="s">
        <v>88</v>
      </c>
    </row>
    <row r="51" s="1" customFormat="1" ht="35.25" customHeight="1" spans="1:15">
      <c r="A51" s="207">
        <v>47</v>
      </c>
      <c r="B51" s="208"/>
      <c r="C51" s="209"/>
      <c r="D51" s="210"/>
      <c r="E51" s="210"/>
      <c r="F51" s="210"/>
      <c r="G51" s="209"/>
      <c r="H51" s="209"/>
      <c r="I51" s="214"/>
      <c r="J51" s="214"/>
      <c r="K51" s="214"/>
      <c r="L51" s="215"/>
      <c r="M51" s="214"/>
      <c r="N51" s="214"/>
      <c r="O51" s="205" t="s">
        <v>88</v>
      </c>
    </row>
    <row r="52" s="1" customFormat="1" ht="35.25" customHeight="1" spans="1:15">
      <c r="A52" s="207">
        <v>48</v>
      </c>
      <c r="B52" s="208"/>
      <c r="C52" s="209"/>
      <c r="D52" s="210"/>
      <c r="E52" s="210"/>
      <c r="F52" s="210"/>
      <c r="G52" s="209"/>
      <c r="H52" s="209"/>
      <c r="I52" s="214"/>
      <c r="J52" s="214"/>
      <c r="K52" s="214"/>
      <c r="L52" s="215"/>
      <c r="M52" s="214"/>
      <c r="N52" s="214"/>
      <c r="O52" s="205" t="s">
        <v>88</v>
      </c>
    </row>
    <row r="53" s="1" customFormat="1" ht="35.25" customHeight="1" spans="1:15">
      <c r="A53" s="207">
        <v>49</v>
      </c>
      <c r="B53" s="208"/>
      <c r="C53" s="209"/>
      <c r="D53" s="210"/>
      <c r="E53" s="210"/>
      <c r="F53" s="210"/>
      <c r="G53" s="209"/>
      <c r="H53" s="209"/>
      <c r="I53" s="214"/>
      <c r="J53" s="214"/>
      <c r="K53" s="214"/>
      <c r="L53" s="215"/>
      <c r="M53" s="214"/>
      <c r="N53" s="214"/>
      <c r="O53" s="205" t="s">
        <v>88</v>
      </c>
    </row>
    <row r="54" s="1" customFormat="1" ht="35.25" customHeight="1" spans="1:15">
      <c r="A54" s="207">
        <v>50</v>
      </c>
      <c r="B54" s="208"/>
      <c r="C54" s="209"/>
      <c r="D54" s="210"/>
      <c r="E54" s="210"/>
      <c r="F54" s="210"/>
      <c r="G54" s="209"/>
      <c r="H54" s="209"/>
      <c r="I54" s="214"/>
      <c r="J54" s="214"/>
      <c r="K54" s="214"/>
      <c r="L54" s="215"/>
      <c r="M54" s="214"/>
      <c r="N54" s="214"/>
      <c r="O54" s="205" t="s">
        <v>88</v>
      </c>
    </row>
    <row r="55" s="1" customFormat="1" ht="35.25" customHeight="1" spans="1:15">
      <c r="A55" s="207">
        <v>51</v>
      </c>
      <c r="B55" s="208"/>
      <c r="C55" s="209"/>
      <c r="D55" s="210"/>
      <c r="E55" s="210"/>
      <c r="F55" s="210"/>
      <c r="G55" s="209"/>
      <c r="H55" s="209"/>
      <c r="I55" s="214"/>
      <c r="J55" s="214"/>
      <c r="K55" s="214"/>
      <c r="L55" s="215"/>
      <c r="M55" s="214"/>
      <c r="N55" s="214"/>
      <c r="O55" s="205" t="s">
        <v>88</v>
      </c>
    </row>
    <row r="56" s="1" customFormat="1" ht="35.25" customHeight="1" spans="1:15">
      <c r="A56" s="207">
        <v>52</v>
      </c>
      <c r="B56" s="208"/>
      <c r="C56" s="209"/>
      <c r="D56" s="210"/>
      <c r="E56" s="210"/>
      <c r="F56" s="210"/>
      <c r="G56" s="209"/>
      <c r="H56" s="209"/>
      <c r="I56" s="214"/>
      <c r="J56" s="214"/>
      <c r="K56" s="214"/>
      <c r="L56" s="215"/>
      <c r="M56" s="214"/>
      <c r="N56" s="214"/>
      <c r="O56" s="205" t="s">
        <v>88</v>
      </c>
    </row>
    <row r="57" s="1" customFormat="1" ht="35.25" customHeight="1" spans="1:15">
      <c r="A57" s="207">
        <v>53</v>
      </c>
      <c r="B57" s="208"/>
      <c r="C57" s="209"/>
      <c r="D57" s="210"/>
      <c r="E57" s="210"/>
      <c r="F57" s="210"/>
      <c r="G57" s="209"/>
      <c r="H57" s="209"/>
      <c r="I57" s="214"/>
      <c r="J57" s="214"/>
      <c r="K57" s="214"/>
      <c r="L57" s="215"/>
      <c r="M57" s="214"/>
      <c r="N57" s="214"/>
      <c r="O57" s="205" t="s">
        <v>88</v>
      </c>
    </row>
    <row r="58" s="1" customFormat="1" ht="35.25" customHeight="1" spans="1:15">
      <c r="A58" s="207">
        <v>54</v>
      </c>
      <c r="B58" s="208"/>
      <c r="C58" s="209"/>
      <c r="D58" s="210"/>
      <c r="E58" s="210"/>
      <c r="F58" s="210"/>
      <c r="G58" s="209"/>
      <c r="H58" s="209"/>
      <c r="I58" s="214"/>
      <c r="J58" s="214"/>
      <c r="K58" s="214"/>
      <c r="L58" s="215"/>
      <c r="M58" s="214"/>
      <c r="N58" s="214"/>
      <c r="O58" s="205" t="s">
        <v>88</v>
      </c>
    </row>
    <row r="59" s="1" customFormat="1" ht="35.25" customHeight="1" spans="1:15">
      <c r="A59" s="207">
        <v>55</v>
      </c>
      <c r="B59" s="208"/>
      <c r="C59" s="209"/>
      <c r="D59" s="210"/>
      <c r="E59" s="210"/>
      <c r="F59" s="210"/>
      <c r="G59" s="209"/>
      <c r="H59" s="209"/>
      <c r="I59" s="214"/>
      <c r="J59" s="214"/>
      <c r="K59" s="214"/>
      <c r="L59" s="215"/>
      <c r="M59" s="214"/>
      <c r="N59" s="214"/>
      <c r="O59" s="205" t="s">
        <v>88</v>
      </c>
    </row>
    <row r="60" s="1" customFormat="1" ht="35.25" customHeight="1" spans="1:15">
      <c r="A60" s="207">
        <v>56</v>
      </c>
      <c r="B60" s="208"/>
      <c r="C60" s="209"/>
      <c r="D60" s="210"/>
      <c r="E60" s="210"/>
      <c r="F60" s="210"/>
      <c r="G60" s="209"/>
      <c r="H60" s="209"/>
      <c r="I60" s="214"/>
      <c r="J60" s="214"/>
      <c r="K60" s="214"/>
      <c r="L60" s="215"/>
      <c r="M60" s="214"/>
      <c r="N60" s="214"/>
      <c r="O60" s="205" t="s">
        <v>88</v>
      </c>
    </row>
    <row r="61" s="1" customFormat="1" ht="35.25" customHeight="1" spans="1:15">
      <c r="A61" s="207">
        <v>57</v>
      </c>
      <c r="B61" s="208"/>
      <c r="C61" s="209"/>
      <c r="D61" s="210"/>
      <c r="E61" s="210"/>
      <c r="F61" s="210"/>
      <c r="G61" s="209"/>
      <c r="H61" s="209"/>
      <c r="I61" s="214"/>
      <c r="J61" s="214"/>
      <c r="K61" s="214"/>
      <c r="L61" s="215"/>
      <c r="M61" s="214"/>
      <c r="N61" s="214"/>
      <c r="O61" s="205" t="s">
        <v>88</v>
      </c>
    </row>
    <row r="62" s="1" customFormat="1" ht="35.25" customHeight="1" spans="1:15">
      <c r="A62" s="207">
        <v>58</v>
      </c>
      <c r="B62" s="208"/>
      <c r="C62" s="209"/>
      <c r="D62" s="210"/>
      <c r="E62" s="210"/>
      <c r="F62" s="210"/>
      <c r="G62" s="209"/>
      <c r="H62" s="209"/>
      <c r="I62" s="214"/>
      <c r="J62" s="214"/>
      <c r="K62" s="214"/>
      <c r="L62" s="215"/>
      <c r="M62" s="214"/>
      <c r="N62" s="214"/>
      <c r="O62" s="205" t="s">
        <v>88</v>
      </c>
    </row>
    <row r="63" s="1" customFormat="1" ht="35.25" customHeight="1" spans="1:15">
      <c r="A63" s="207">
        <v>59</v>
      </c>
      <c r="B63" s="208"/>
      <c r="C63" s="209"/>
      <c r="D63" s="210"/>
      <c r="E63" s="210"/>
      <c r="F63" s="210"/>
      <c r="G63" s="209"/>
      <c r="H63" s="209"/>
      <c r="I63" s="214"/>
      <c r="J63" s="214"/>
      <c r="K63" s="214"/>
      <c r="L63" s="215"/>
      <c r="M63" s="214"/>
      <c r="N63" s="214"/>
      <c r="O63" s="205" t="s">
        <v>88</v>
      </c>
    </row>
    <row r="64" s="1" customFormat="1" ht="35.25" customHeight="1" spans="1:15">
      <c r="A64" s="207">
        <v>60</v>
      </c>
      <c r="B64" s="208"/>
      <c r="C64" s="209"/>
      <c r="D64" s="210"/>
      <c r="E64" s="210"/>
      <c r="F64" s="210"/>
      <c r="G64" s="209"/>
      <c r="H64" s="209"/>
      <c r="I64" s="214"/>
      <c r="J64" s="214"/>
      <c r="K64" s="214"/>
      <c r="L64" s="215"/>
      <c r="M64" s="214"/>
      <c r="N64" s="214"/>
      <c r="O64" s="205" t="s">
        <v>88</v>
      </c>
    </row>
    <row r="65" s="1" customFormat="1" ht="35.25" customHeight="1" spans="1:15">
      <c r="A65" s="207">
        <v>61</v>
      </c>
      <c r="B65" s="208"/>
      <c r="C65" s="209"/>
      <c r="D65" s="210"/>
      <c r="E65" s="210"/>
      <c r="F65" s="210"/>
      <c r="G65" s="209"/>
      <c r="H65" s="209"/>
      <c r="I65" s="214"/>
      <c r="J65" s="214"/>
      <c r="K65" s="214"/>
      <c r="L65" s="215"/>
      <c r="M65" s="214"/>
      <c r="N65" s="214"/>
      <c r="O65" s="205" t="s">
        <v>88</v>
      </c>
    </row>
    <row r="66" s="1" customFormat="1" ht="35.25" customHeight="1" spans="1:15">
      <c r="A66" s="207">
        <v>62</v>
      </c>
      <c r="B66" s="208"/>
      <c r="C66" s="209"/>
      <c r="D66" s="210"/>
      <c r="E66" s="210"/>
      <c r="F66" s="210"/>
      <c r="G66" s="209"/>
      <c r="H66" s="209"/>
      <c r="I66" s="214"/>
      <c r="J66" s="214"/>
      <c r="K66" s="214"/>
      <c r="L66" s="215"/>
      <c r="M66" s="214"/>
      <c r="N66" s="214"/>
      <c r="O66" s="205" t="s">
        <v>88</v>
      </c>
    </row>
    <row r="67" s="1" customFormat="1" ht="35.25" customHeight="1" spans="1:15">
      <c r="A67" s="207">
        <v>63</v>
      </c>
      <c r="B67" s="208"/>
      <c r="C67" s="209"/>
      <c r="D67" s="210"/>
      <c r="E67" s="210"/>
      <c r="F67" s="210"/>
      <c r="G67" s="209"/>
      <c r="H67" s="209"/>
      <c r="I67" s="214"/>
      <c r="J67" s="214"/>
      <c r="K67" s="214"/>
      <c r="L67" s="215"/>
      <c r="M67" s="214"/>
      <c r="N67" s="214"/>
      <c r="O67" s="205" t="s">
        <v>88</v>
      </c>
    </row>
    <row r="68" s="1" customFormat="1" ht="35.25" customHeight="1" spans="1:15">
      <c r="A68" s="207">
        <v>64</v>
      </c>
      <c r="B68" s="208"/>
      <c r="C68" s="209"/>
      <c r="D68" s="210"/>
      <c r="E68" s="210"/>
      <c r="F68" s="210"/>
      <c r="G68" s="209"/>
      <c r="H68" s="209"/>
      <c r="I68" s="214"/>
      <c r="J68" s="214"/>
      <c r="K68" s="214"/>
      <c r="L68" s="215"/>
      <c r="M68" s="214"/>
      <c r="N68" s="214"/>
      <c r="O68" s="205" t="s">
        <v>88</v>
      </c>
    </row>
    <row r="69" s="1" customFormat="1" ht="35.25" customHeight="1" spans="1:15">
      <c r="A69" s="207">
        <v>65</v>
      </c>
      <c r="B69" s="208"/>
      <c r="C69" s="209"/>
      <c r="D69" s="210"/>
      <c r="E69" s="210"/>
      <c r="F69" s="210"/>
      <c r="G69" s="209"/>
      <c r="H69" s="209"/>
      <c r="I69" s="214"/>
      <c r="J69" s="214"/>
      <c r="K69" s="214"/>
      <c r="L69" s="215"/>
      <c r="M69" s="214"/>
      <c r="N69" s="214"/>
      <c r="O69" s="205" t="s">
        <v>88</v>
      </c>
    </row>
    <row r="70" s="1" customFormat="1" ht="35.25" customHeight="1" spans="1:15">
      <c r="A70" s="207">
        <v>66</v>
      </c>
      <c r="B70" s="208"/>
      <c r="C70" s="209"/>
      <c r="D70" s="210"/>
      <c r="E70" s="210"/>
      <c r="F70" s="210"/>
      <c r="G70" s="209"/>
      <c r="H70" s="209"/>
      <c r="I70" s="214"/>
      <c r="J70" s="214"/>
      <c r="K70" s="214"/>
      <c r="L70" s="215"/>
      <c r="M70" s="214"/>
      <c r="N70" s="214"/>
      <c r="O70" s="205" t="s">
        <v>88</v>
      </c>
    </row>
    <row r="71" s="1" customFormat="1" ht="35.25" customHeight="1" spans="1:15">
      <c r="A71" s="207">
        <v>67</v>
      </c>
      <c r="B71" s="208"/>
      <c r="C71" s="209"/>
      <c r="D71" s="210"/>
      <c r="E71" s="210"/>
      <c r="F71" s="210"/>
      <c r="G71" s="209"/>
      <c r="H71" s="209"/>
      <c r="I71" s="214"/>
      <c r="J71" s="214"/>
      <c r="K71" s="214"/>
      <c r="L71" s="215"/>
      <c r="M71" s="214"/>
      <c r="N71" s="214"/>
      <c r="O71" s="205" t="s">
        <v>88</v>
      </c>
    </row>
    <row r="72" s="1" customFormat="1" ht="35.25" customHeight="1" spans="1:15">
      <c r="A72" s="207">
        <v>68</v>
      </c>
      <c r="B72" s="208"/>
      <c r="C72" s="209"/>
      <c r="D72" s="210"/>
      <c r="E72" s="210"/>
      <c r="F72" s="210"/>
      <c r="G72" s="209"/>
      <c r="H72" s="209"/>
      <c r="I72" s="214"/>
      <c r="J72" s="214"/>
      <c r="K72" s="214"/>
      <c r="L72" s="215"/>
      <c r="M72" s="214"/>
      <c r="N72" s="214"/>
      <c r="O72" s="205" t="s">
        <v>88</v>
      </c>
    </row>
    <row r="73" s="1" customFormat="1" ht="35.25" customHeight="1" spans="1:15">
      <c r="A73" s="207">
        <v>69</v>
      </c>
      <c r="B73" s="208"/>
      <c r="C73" s="209"/>
      <c r="D73" s="210"/>
      <c r="E73" s="210"/>
      <c r="F73" s="210"/>
      <c r="G73" s="209"/>
      <c r="H73" s="209"/>
      <c r="I73" s="214"/>
      <c r="J73" s="214"/>
      <c r="K73" s="214"/>
      <c r="L73" s="215"/>
      <c r="M73" s="214"/>
      <c r="N73" s="214"/>
      <c r="O73" s="205" t="s">
        <v>88</v>
      </c>
    </row>
    <row r="74" s="1" customFormat="1" ht="35.25" customHeight="1" spans="1:15">
      <c r="A74" s="207">
        <v>70</v>
      </c>
      <c r="B74" s="208"/>
      <c r="C74" s="209"/>
      <c r="D74" s="210"/>
      <c r="E74" s="210"/>
      <c r="F74" s="210"/>
      <c r="G74" s="209"/>
      <c r="H74" s="209"/>
      <c r="I74" s="214"/>
      <c r="J74" s="214"/>
      <c r="K74" s="214"/>
      <c r="L74" s="215"/>
      <c r="M74" s="214"/>
      <c r="N74" s="214"/>
      <c r="O74" s="205" t="s">
        <v>88</v>
      </c>
    </row>
    <row r="75" s="1" customFormat="1" ht="35.25" customHeight="1" spans="1:15">
      <c r="A75" s="207">
        <v>71</v>
      </c>
      <c r="B75" s="208"/>
      <c r="C75" s="209"/>
      <c r="D75" s="210"/>
      <c r="E75" s="210"/>
      <c r="F75" s="210"/>
      <c r="G75" s="209"/>
      <c r="H75" s="209"/>
      <c r="I75" s="214"/>
      <c r="J75" s="214"/>
      <c r="K75" s="214"/>
      <c r="L75" s="215"/>
      <c r="M75" s="214"/>
      <c r="N75" s="214"/>
      <c r="O75" s="205" t="s">
        <v>88</v>
      </c>
    </row>
    <row r="76" s="1" customFormat="1" ht="35.25" customHeight="1" spans="1:15">
      <c r="A76" s="207">
        <v>72</v>
      </c>
      <c r="B76" s="208"/>
      <c r="C76" s="209"/>
      <c r="D76" s="210"/>
      <c r="E76" s="210"/>
      <c r="F76" s="210"/>
      <c r="G76" s="209"/>
      <c r="H76" s="209"/>
      <c r="I76" s="214"/>
      <c r="J76" s="214"/>
      <c r="K76" s="214"/>
      <c r="L76" s="215"/>
      <c r="M76" s="214"/>
      <c r="N76" s="214"/>
      <c r="O76" s="205" t="s">
        <v>88</v>
      </c>
    </row>
    <row r="77" s="1" customFormat="1" ht="35.25" customHeight="1" spans="1:15">
      <c r="A77" s="207">
        <v>73</v>
      </c>
      <c r="B77" s="208"/>
      <c r="C77" s="209"/>
      <c r="D77" s="210"/>
      <c r="E77" s="210"/>
      <c r="F77" s="210"/>
      <c r="G77" s="209"/>
      <c r="H77" s="209"/>
      <c r="I77" s="214"/>
      <c r="J77" s="214"/>
      <c r="K77" s="214"/>
      <c r="L77" s="215"/>
      <c r="M77" s="214"/>
      <c r="N77" s="214"/>
      <c r="O77" s="205" t="s">
        <v>88</v>
      </c>
    </row>
    <row r="78" s="1" customFormat="1" ht="35.25" customHeight="1" spans="1:15">
      <c r="A78" s="207">
        <v>74</v>
      </c>
      <c r="B78" s="208"/>
      <c r="C78" s="209"/>
      <c r="D78" s="210"/>
      <c r="E78" s="210"/>
      <c r="F78" s="210"/>
      <c r="G78" s="209"/>
      <c r="H78" s="209"/>
      <c r="I78" s="214"/>
      <c r="J78" s="214"/>
      <c r="K78" s="214"/>
      <c r="L78" s="215"/>
      <c r="M78" s="214"/>
      <c r="N78" s="214"/>
      <c r="O78" s="205" t="s">
        <v>88</v>
      </c>
    </row>
    <row r="79" s="1" customFormat="1" ht="35.25" customHeight="1" spans="1:15">
      <c r="A79" s="207">
        <v>75</v>
      </c>
      <c r="B79" s="208"/>
      <c r="C79" s="209"/>
      <c r="D79" s="210"/>
      <c r="E79" s="210"/>
      <c r="F79" s="210"/>
      <c r="G79" s="209"/>
      <c r="H79" s="209"/>
      <c r="I79" s="214"/>
      <c r="J79" s="214"/>
      <c r="K79" s="214"/>
      <c r="L79" s="215"/>
      <c r="M79" s="214"/>
      <c r="N79" s="214"/>
      <c r="O79" s="205" t="s">
        <v>88</v>
      </c>
    </row>
    <row r="80" s="1" customFormat="1" ht="35.25" customHeight="1" spans="1:15">
      <c r="A80" s="207">
        <v>76</v>
      </c>
      <c r="B80" s="208"/>
      <c r="C80" s="209"/>
      <c r="D80" s="210"/>
      <c r="E80" s="210"/>
      <c r="F80" s="210"/>
      <c r="G80" s="209"/>
      <c r="H80" s="209"/>
      <c r="I80" s="214"/>
      <c r="J80" s="214"/>
      <c r="K80" s="214"/>
      <c r="L80" s="215"/>
      <c r="M80" s="214"/>
      <c r="N80" s="214"/>
      <c r="O80" s="205" t="s">
        <v>88</v>
      </c>
    </row>
    <row r="81" s="1" customFormat="1" ht="35.25" customHeight="1" spans="1:15">
      <c r="A81" s="207">
        <v>77</v>
      </c>
      <c r="B81" s="208"/>
      <c r="C81" s="209"/>
      <c r="D81" s="210"/>
      <c r="E81" s="210"/>
      <c r="F81" s="210"/>
      <c r="G81" s="209"/>
      <c r="H81" s="209"/>
      <c r="I81" s="214"/>
      <c r="J81" s="214"/>
      <c r="K81" s="214"/>
      <c r="L81" s="215"/>
      <c r="M81" s="214"/>
      <c r="N81" s="214"/>
      <c r="O81" s="205" t="s">
        <v>88</v>
      </c>
    </row>
    <row r="82" s="1" customFormat="1" ht="35.25" customHeight="1" spans="1:15">
      <c r="A82" s="207">
        <v>78</v>
      </c>
      <c r="B82" s="208"/>
      <c r="C82" s="209"/>
      <c r="D82" s="210"/>
      <c r="E82" s="210"/>
      <c r="F82" s="210"/>
      <c r="G82" s="209"/>
      <c r="H82" s="209"/>
      <c r="I82" s="214"/>
      <c r="J82" s="214"/>
      <c r="K82" s="214"/>
      <c r="L82" s="215"/>
      <c r="M82" s="214"/>
      <c r="N82" s="214"/>
      <c r="O82" s="205" t="s">
        <v>88</v>
      </c>
    </row>
    <row r="83" s="1" customFormat="1" ht="35.25" customHeight="1" spans="1:15">
      <c r="A83" s="207">
        <v>79</v>
      </c>
      <c r="B83" s="208"/>
      <c r="C83" s="209"/>
      <c r="D83" s="210"/>
      <c r="E83" s="210"/>
      <c r="F83" s="210"/>
      <c r="G83" s="209"/>
      <c r="H83" s="209"/>
      <c r="I83" s="214"/>
      <c r="J83" s="214"/>
      <c r="K83" s="214"/>
      <c r="L83" s="215"/>
      <c r="M83" s="214"/>
      <c r="N83" s="214"/>
      <c r="O83" s="205" t="s">
        <v>88</v>
      </c>
    </row>
    <row r="84" s="1" customFormat="1" ht="35.25" customHeight="1" spans="1:15">
      <c r="A84" s="207">
        <v>80</v>
      </c>
      <c r="B84" s="208"/>
      <c r="C84" s="209"/>
      <c r="D84" s="210"/>
      <c r="E84" s="210"/>
      <c r="F84" s="210"/>
      <c r="G84" s="209"/>
      <c r="H84" s="209"/>
      <c r="I84" s="214"/>
      <c r="J84" s="214"/>
      <c r="K84" s="214"/>
      <c r="L84" s="215"/>
      <c r="M84" s="214"/>
      <c r="N84" s="214"/>
      <c r="O84" s="205" t="s">
        <v>88</v>
      </c>
    </row>
    <row r="85" s="1" customFormat="1" ht="35.25" customHeight="1" spans="1:15">
      <c r="A85" s="207">
        <v>81</v>
      </c>
      <c r="B85" s="208"/>
      <c r="C85" s="209"/>
      <c r="D85" s="210"/>
      <c r="E85" s="210"/>
      <c r="F85" s="210"/>
      <c r="G85" s="209"/>
      <c r="H85" s="209"/>
      <c r="I85" s="214"/>
      <c r="J85" s="214"/>
      <c r="K85" s="214"/>
      <c r="L85" s="215"/>
      <c r="M85" s="214"/>
      <c r="N85" s="214"/>
      <c r="O85" s="205" t="s">
        <v>88</v>
      </c>
    </row>
    <row r="86" s="1" customFormat="1" ht="35.25" customHeight="1" spans="1:15">
      <c r="A86" s="207">
        <v>82</v>
      </c>
      <c r="B86" s="208"/>
      <c r="C86" s="209"/>
      <c r="D86" s="210"/>
      <c r="E86" s="210"/>
      <c r="F86" s="210"/>
      <c r="G86" s="209"/>
      <c r="H86" s="209"/>
      <c r="I86" s="214"/>
      <c r="J86" s="214"/>
      <c r="K86" s="214"/>
      <c r="L86" s="215"/>
      <c r="M86" s="214"/>
      <c r="N86" s="214"/>
      <c r="O86" s="205" t="s">
        <v>88</v>
      </c>
    </row>
    <row r="87" s="1" customFormat="1" ht="35.25" customHeight="1" spans="1:15">
      <c r="A87" s="207">
        <v>83</v>
      </c>
      <c r="B87" s="208"/>
      <c r="C87" s="209"/>
      <c r="D87" s="210"/>
      <c r="E87" s="210"/>
      <c r="F87" s="210"/>
      <c r="G87" s="209"/>
      <c r="H87" s="209"/>
      <c r="I87" s="214"/>
      <c r="J87" s="214"/>
      <c r="K87" s="214"/>
      <c r="L87" s="215"/>
      <c r="M87" s="214"/>
      <c r="N87" s="214"/>
      <c r="O87" s="205" t="s">
        <v>88</v>
      </c>
    </row>
    <row r="88" s="1" customFormat="1" ht="35.25" customHeight="1" spans="1:15">
      <c r="A88" s="207">
        <v>84</v>
      </c>
      <c r="B88" s="208"/>
      <c r="C88" s="209"/>
      <c r="D88" s="210"/>
      <c r="E88" s="210"/>
      <c r="F88" s="210"/>
      <c r="G88" s="209"/>
      <c r="H88" s="209"/>
      <c r="I88" s="214"/>
      <c r="J88" s="214"/>
      <c r="K88" s="214"/>
      <c r="L88" s="215"/>
      <c r="M88" s="214"/>
      <c r="N88" s="214"/>
      <c r="O88" s="205" t="s">
        <v>88</v>
      </c>
    </row>
    <row r="89" s="1" customFormat="1" ht="35.25" customHeight="1" spans="1:15">
      <c r="A89" s="207">
        <v>85</v>
      </c>
      <c r="B89" s="208"/>
      <c r="C89" s="209"/>
      <c r="D89" s="210"/>
      <c r="E89" s="210"/>
      <c r="F89" s="210"/>
      <c r="G89" s="209"/>
      <c r="H89" s="209"/>
      <c r="I89" s="214"/>
      <c r="J89" s="214"/>
      <c r="K89" s="214"/>
      <c r="L89" s="215"/>
      <c r="M89" s="214"/>
      <c r="N89" s="214"/>
      <c r="O89" s="205" t="s">
        <v>88</v>
      </c>
    </row>
    <row r="90" s="1" customFormat="1" ht="35.25" customHeight="1" spans="1:15">
      <c r="A90" s="207">
        <v>86</v>
      </c>
      <c r="B90" s="208"/>
      <c r="C90" s="209"/>
      <c r="D90" s="210"/>
      <c r="E90" s="210"/>
      <c r="F90" s="210"/>
      <c r="G90" s="209"/>
      <c r="H90" s="209"/>
      <c r="I90" s="214"/>
      <c r="J90" s="214"/>
      <c r="K90" s="214"/>
      <c r="L90" s="215"/>
      <c r="M90" s="214"/>
      <c r="N90" s="214"/>
      <c r="O90" s="205" t="s">
        <v>88</v>
      </c>
    </row>
    <row r="91" s="1" customFormat="1" ht="35.25" customHeight="1" spans="1:15">
      <c r="A91" s="207">
        <v>87</v>
      </c>
      <c r="B91" s="208"/>
      <c r="C91" s="209"/>
      <c r="D91" s="210"/>
      <c r="E91" s="210"/>
      <c r="F91" s="210"/>
      <c r="G91" s="209"/>
      <c r="H91" s="209"/>
      <c r="I91" s="214"/>
      <c r="J91" s="214"/>
      <c r="K91" s="214"/>
      <c r="L91" s="215"/>
      <c r="M91" s="214"/>
      <c r="N91" s="214"/>
      <c r="O91" s="205" t="s">
        <v>88</v>
      </c>
    </row>
    <row r="92" s="1" customFormat="1" ht="35.25" customHeight="1" spans="1:15">
      <c r="A92" s="207">
        <v>88</v>
      </c>
      <c r="B92" s="208"/>
      <c r="C92" s="209"/>
      <c r="D92" s="210"/>
      <c r="E92" s="210"/>
      <c r="F92" s="210"/>
      <c r="G92" s="209"/>
      <c r="H92" s="209"/>
      <c r="I92" s="214"/>
      <c r="J92" s="214"/>
      <c r="K92" s="214"/>
      <c r="L92" s="215"/>
      <c r="M92" s="214"/>
      <c r="N92" s="214"/>
      <c r="O92" s="205" t="s">
        <v>88</v>
      </c>
    </row>
    <row r="93" s="1" customFormat="1" ht="35.25" customHeight="1" spans="1:15">
      <c r="A93" s="207">
        <v>89</v>
      </c>
      <c r="B93" s="208"/>
      <c r="C93" s="209"/>
      <c r="D93" s="210"/>
      <c r="E93" s="210"/>
      <c r="F93" s="210"/>
      <c r="G93" s="209"/>
      <c r="H93" s="209"/>
      <c r="I93" s="214"/>
      <c r="J93" s="214"/>
      <c r="K93" s="214"/>
      <c r="L93" s="215"/>
      <c r="M93" s="214"/>
      <c r="N93" s="214"/>
      <c r="O93" s="205" t="s">
        <v>88</v>
      </c>
    </row>
    <row r="94" s="1" customFormat="1" ht="35.25" customHeight="1" spans="1:15">
      <c r="A94" s="207">
        <v>90</v>
      </c>
      <c r="B94" s="208"/>
      <c r="C94" s="209"/>
      <c r="D94" s="210"/>
      <c r="E94" s="210"/>
      <c r="F94" s="210"/>
      <c r="G94" s="209"/>
      <c r="H94" s="209"/>
      <c r="I94" s="214"/>
      <c r="J94" s="214"/>
      <c r="K94" s="214"/>
      <c r="L94" s="215"/>
      <c r="M94" s="214"/>
      <c r="N94" s="214"/>
      <c r="O94" s="205" t="s">
        <v>88</v>
      </c>
    </row>
    <row r="95" s="1" customFormat="1" ht="35.25" customHeight="1" spans="1:15">
      <c r="A95" s="207">
        <v>91</v>
      </c>
      <c r="B95" s="208"/>
      <c r="C95" s="209"/>
      <c r="D95" s="210"/>
      <c r="E95" s="210"/>
      <c r="F95" s="210"/>
      <c r="G95" s="209"/>
      <c r="H95" s="209"/>
      <c r="I95" s="214"/>
      <c r="J95" s="214"/>
      <c r="K95" s="214"/>
      <c r="L95" s="215"/>
      <c r="M95" s="214"/>
      <c r="N95" s="214"/>
      <c r="O95" s="205" t="s">
        <v>88</v>
      </c>
    </row>
    <row r="96" s="1" customFormat="1" ht="35.25" customHeight="1" spans="1:15">
      <c r="A96" s="207">
        <v>92</v>
      </c>
      <c r="B96" s="208"/>
      <c r="C96" s="209"/>
      <c r="D96" s="210"/>
      <c r="E96" s="210"/>
      <c r="F96" s="210"/>
      <c r="G96" s="209"/>
      <c r="H96" s="209"/>
      <c r="I96" s="214"/>
      <c r="J96" s="214"/>
      <c r="K96" s="214"/>
      <c r="L96" s="215"/>
      <c r="M96" s="214"/>
      <c r="N96" s="214"/>
      <c r="O96" s="205" t="s">
        <v>88</v>
      </c>
    </row>
    <row r="97" s="1" customFormat="1" ht="35.25" customHeight="1" spans="1:15">
      <c r="A97" s="207">
        <v>93</v>
      </c>
      <c r="B97" s="208"/>
      <c r="C97" s="209"/>
      <c r="D97" s="210"/>
      <c r="E97" s="210"/>
      <c r="F97" s="210"/>
      <c r="G97" s="209"/>
      <c r="H97" s="209"/>
      <c r="I97" s="214"/>
      <c r="J97" s="214"/>
      <c r="K97" s="214"/>
      <c r="L97" s="215"/>
      <c r="M97" s="214"/>
      <c r="N97" s="214"/>
      <c r="O97" s="205" t="s">
        <v>88</v>
      </c>
    </row>
    <row r="98" s="1" customFormat="1" ht="35.25" customHeight="1" spans="1:15">
      <c r="A98" s="207">
        <v>94</v>
      </c>
      <c r="B98" s="208"/>
      <c r="C98" s="209"/>
      <c r="D98" s="210"/>
      <c r="E98" s="210"/>
      <c r="F98" s="210"/>
      <c r="G98" s="209"/>
      <c r="H98" s="209"/>
      <c r="I98" s="214"/>
      <c r="J98" s="214"/>
      <c r="K98" s="214"/>
      <c r="L98" s="215"/>
      <c r="M98" s="214"/>
      <c r="N98" s="214"/>
      <c r="O98" s="205" t="s">
        <v>88</v>
      </c>
    </row>
    <row r="99" s="1" customFormat="1" ht="35.25" customHeight="1" spans="1:15">
      <c r="A99" s="207">
        <v>95</v>
      </c>
      <c r="B99" s="208"/>
      <c r="C99" s="209"/>
      <c r="D99" s="210"/>
      <c r="E99" s="210"/>
      <c r="F99" s="210"/>
      <c r="G99" s="209"/>
      <c r="H99" s="209"/>
      <c r="I99" s="214"/>
      <c r="J99" s="214"/>
      <c r="K99" s="214"/>
      <c r="L99" s="215"/>
      <c r="M99" s="214"/>
      <c r="N99" s="214"/>
      <c r="O99" s="205" t="s">
        <v>88</v>
      </c>
    </row>
    <row r="100" s="1" customFormat="1" ht="35.25" customHeight="1" spans="1:15">
      <c r="A100" s="207">
        <v>96</v>
      </c>
      <c r="B100" s="208"/>
      <c r="C100" s="209"/>
      <c r="D100" s="210"/>
      <c r="E100" s="210"/>
      <c r="F100" s="210"/>
      <c r="G100" s="209"/>
      <c r="H100" s="209"/>
      <c r="I100" s="214"/>
      <c r="J100" s="214"/>
      <c r="K100" s="214"/>
      <c r="L100" s="215"/>
      <c r="M100" s="214"/>
      <c r="N100" s="214"/>
      <c r="O100" s="205" t="s">
        <v>88</v>
      </c>
    </row>
    <row r="101" s="1" customFormat="1" ht="35.25" customHeight="1" spans="1:15">
      <c r="A101" s="207">
        <v>97</v>
      </c>
      <c r="B101" s="208"/>
      <c r="C101" s="209"/>
      <c r="D101" s="210"/>
      <c r="E101" s="210"/>
      <c r="F101" s="210"/>
      <c r="G101" s="209"/>
      <c r="H101" s="209"/>
      <c r="I101" s="214"/>
      <c r="J101" s="214"/>
      <c r="K101" s="214"/>
      <c r="L101" s="215"/>
      <c r="M101" s="214"/>
      <c r="N101" s="214"/>
      <c r="O101" s="205" t="s">
        <v>88</v>
      </c>
    </row>
    <row r="102" s="1" customFormat="1" ht="35.25" customHeight="1" spans="1:15">
      <c r="A102" s="207">
        <v>98</v>
      </c>
      <c r="B102" s="208"/>
      <c r="C102" s="209"/>
      <c r="D102" s="210"/>
      <c r="E102" s="210"/>
      <c r="F102" s="210"/>
      <c r="G102" s="209"/>
      <c r="H102" s="209"/>
      <c r="I102" s="214"/>
      <c r="J102" s="214"/>
      <c r="K102" s="214"/>
      <c r="L102" s="215"/>
      <c r="M102" s="214"/>
      <c r="N102" s="214"/>
      <c r="O102" s="205" t="s">
        <v>88</v>
      </c>
    </row>
    <row r="103" s="1" customFormat="1" ht="35.25" customHeight="1" spans="1:15">
      <c r="A103" s="207">
        <v>99</v>
      </c>
      <c r="B103" s="208"/>
      <c r="C103" s="209"/>
      <c r="D103" s="210"/>
      <c r="E103" s="210"/>
      <c r="F103" s="210"/>
      <c r="G103" s="209"/>
      <c r="H103" s="209"/>
      <c r="I103" s="214"/>
      <c r="J103" s="214"/>
      <c r="K103" s="214"/>
      <c r="L103" s="215"/>
      <c r="M103" s="214"/>
      <c r="N103" s="214"/>
      <c r="O103" s="205" t="s">
        <v>88</v>
      </c>
    </row>
    <row r="104" s="1" customFormat="1" ht="35.25" customHeight="1" spans="1:15">
      <c r="A104" s="207">
        <v>100</v>
      </c>
      <c r="B104" s="208"/>
      <c r="C104" s="209"/>
      <c r="D104" s="210"/>
      <c r="E104" s="210"/>
      <c r="F104" s="210"/>
      <c r="G104" s="209"/>
      <c r="H104" s="209"/>
      <c r="I104" s="214"/>
      <c r="J104" s="214"/>
      <c r="K104" s="214"/>
      <c r="L104" s="215"/>
      <c r="M104" s="214"/>
      <c r="N104" s="214"/>
      <c r="O104" s="205" t="s">
        <v>88</v>
      </c>
    </row>
    <row r="105" s="1" customFormat="1" ht="35.25" customHeight="1" spans="1:15">
      <c r="A105" s="207">
        <v>101</v>
      </c>
      <c r="B105" s="208"/>
      <c r="C105" s="209"/>
      <c r="D105" s="210"/>
      <c r="E105" s="210"/>
      <c r="F105" s="210"/>
      <c r="G105" s="209"/>
      <c r="H105" s="209"/>
      <c r="I105" s="214"/>
      <c r="J105" s="214"/>
      <c r="K105" s="214"/>
      <c r="L105" s="215"/>
      <c r="M105" s="214"/>
      <c r="N105" s="214"/>
      <c r="O105" s="205" t="s">
        <v>88</v>
      </c>
    </row>
    <row r="106" s="1" customFormat="1" ht="35.25" customHeight="1" spans="1:15">
      <c r="A106" s="207">
        <v>102</v>
      </c>
      <c r="B106" s="208"/>
      <c r="C106" s="209"/>
      <c r="D106" s="210"/>
      <c r="E106" s="210"/>
      <c r="F106" s="210"/>
      <c r="G106" s="209"/>
      <c r="H106" s="209"/>
      <c r="I106" s="214"/>
      <c r="J106" s="214"/>
      <c r="K106" s="214"/>
      <c r="L106" s="215"/>
      <c r="M106" s="214"/>
      <c r="N106" s="214"/>
      <c r="O106" s="205" t="s">
        <v>88</v>
      </c>
    </row>
    <row r="107" s="1" customFormat="1" ht="35.25" customHeight="1" spans="1:15">
      <c r="A107" s="207">
        <v>103</v>
      </c>
      <c r="B107" s="208"/>
      <c r="C107" s="209"/>
      <c r="D107" s="210"/>
      <c r="E107" s="210"/>
      <c r="F107" s="210"/>
      <c r="G107" s="209"/>
      <c r="H107" s="209"/>
      <c r="I107" s="214"/>
      <c r="J107" s="214"/>
      <c r="K107" s="214"/>
      <c r="L107" s="215"/>
      <c r="M107" s="214"/>
      <c r="N107" s="214"/>
      <c r="O107" s="205" t="s">
        <v>88</v>
      </c>
    </row>
    <row r="108" s="1" customFormat="1" ht="35.25" customHeight="1" spans="1:15">
      <c r="A108" s="207">
        <v>104</v>
      </c>
      <c r="B108" s="208"/>
      <c r="C108" s="209"/>
      <c r="D108" s="210"/>
      <c r="E108" s="210"/>
      <c r="F108" s="210"/>
      <c r="G108" s="209"/>
      <c r="H108" s="209"/>
      <c r="I108" s="214"/>
      <c r="J108" s="214"/>
      <c r="K108" s="214"/>
      <c r="L108" s="215"/>
      <c r="M108" s="214"/>
      <c r="N108" s="214"/>
      <c r="O108" s="205" t="s">
        <v>88</v>
      </c>
    </row>
    <row r="109" s="1" customFormat="1" ht="35.25" customHeight="1" spans="1:15">
      <c r="A109" s="207">
        <v>105</v>
      </c>
      <c r="B109" s="208"/>
      <c r="C109" s="209"/>
      <c r="D109" s="210"/>
      <c r="E109" s="210"/>
      <c r="F109" s="210"/>
      <c r="G109" s="209"/>
      <c r="H109" s="209"/>
      <c r="I109" s="214"/>
      <c r="J109" s="214"/>
      <c r="K109" s="214"/>
      <c r="L109" s="215"/>
      <c r="M109" s="214"/>
      <c r="N109" s="214"/>
      <c r="O109" s="205" t="s">
        <v>88</v>
      </c>
    </row>
    <row r="110" s="1" customFormat="1" ht="35.25" customHeight="1" spans="1:15">
      <c r="A110" s="207">
        <v>106</v>
      </c>
      <c r="B110" s="208"/>
      <c r="C110" s="209"/>
      <c r="D110" s="210"/>
      <c r="E110" s="210"/>
      <c r="F110" s="210"/>
      <c r="G110" s="209"/>
      <c r="H110" s="209"/>
      <c r="I110" s="214"/>
      <c r="J110" s="214"/>
      <c r="K110" s="214"/>
      <c r="L110" s="215"/>
      <c r="M110" s="214"/>
      <c r="N110" s="214"/>
      <c r="O110" s="205" t="s">
        <v>88</v>
      </c>
    </row>
    <row r="111" s="1" customFormat="1" ht="35.25" customHeight="1" spans="1:15">
      <c r="A111" s="207">
        <v>107</v>
      </c>
      <c r="B111" s="208"/>
      <c r="C111" s="209"/>
      <c r="D111" s="210"/>
      <c r="E111" s="210"/>
      <c r="F111" s="210"/>
      <c r="G111" s="209"/>
      <c r="H111" s="209"/>
      <c r="I111" s="214"/>
      <c r="J111" s="214"/>
      <c r="K111" s="214"/>
      <c r="L111" s="215"/>
      <c r="M111" s="214"/>
      <c r="N111" s="214"/>
      <c r="O111" s="205" t="s">
        <v>88</v>
      </c>
    </row>
    <row r="112" s="1" customFormat="1" ht="35.25" customHeight="1" spans="1:15">
      <c r="A112" s="207">
        <v>108</v>
      </c>
      <c r="B112" s="208"/>
      <c r="C112" s="209"/>
      <c r="D112" s="210"/>
      <c r="E112" s="210"/>
      <c r="F112" s="210"/>
      <c r="G112" s="209"/>
      <c r="H112" s="209"/>
      <c r="I112" s="214"/>
      <c r="J112" s="214"/>
      <c r="K112" s="214"/>
      <c r="L112" s="215"/>
      <c r="M112" s="214"/>
      <c r="N112" s="214"/>
      <c r="O112" s="205" t="s">
        <v>88</v>
      </c>
    </row>
    <row r="113" s="1" customFormat="1" ht="35.25" customHeight="1" spans="1:15">
      <c r="A113" s="207">
        <v>109</v>
      </c>
      <c r="B113" s="208"/>
      <c r="C113" s="209"/>
      <c r="D113" s="210"/>
      <c r="E113" s="210"/>
      <c r="F113" s="210"/>
      <c r="G113" s="209"/>
      <c r="H113" s="209"/>
      <c r="I113" s="214"/>
      <c r="J113" s="214"/>
      <c r="K113" s="214"/>
      <c r="L113" s="215"/>
      <c r="M113" s="214"/>
      <c r="N113" s="214"/>
      <c r="O113" s="205" t="s">
        <v>88</v>
      </c>
    </row>
    <row r="114" s="1" customFormat="1" ht="35.25" customHeight="1" spans="1:15">
      <c r="A114" s="207">
        <v>110</v>
      </c>
      <c r="B114" s="208"/>
      <c r="C114" s="209"/>
      <c r="D114" s="210"/>
      <c r="E114" s="210"/>
      <c r="F114" s="210"/>
      <c r="G114" s="209"/>
      <c r="H114" s="209"/>
      <c r="I114" s="214"/>
      <c r="J114" s="214"/>
      <c r="K114" s="214"/>
      <c r="L114" s="215"/>
      <c r="M114" s="214"/>
      <c r="N114" s="214"/>
      <c r="O114" s="205" t="s">
        <v>88</v>
      </c>
    </row>
    <row r="115" s="1" customFormat="1" ht="35.25" customHeight="1" spans="1:15">
      <c r="A115" s="207">
        <v>111</v>
      </c>
      <c r="B115" s="208"/>
      <c r="C115" s="209"/>
      <c r="D115" s="210"/>
      <c r="E115" s="210"/>
      <c r="F115" s="210"/>
      <c r="G115" s="209"/>
      <c r="H115" s="209"/>
      <c r="I115" s="214"/>
      <c r="J115" s="214"/>
      <c r="K115" s="214"/>
      <c r="L115" s="215"/>
      <c r="M115" s="214"/>
      <c r="N115" s="214"/>
      <c r="O115" s="205" t="s">
        <v>88</v>
      </c>
    </row>
    <row r="116" s="1" customFormat="1" ht="35.25" customHeight="1" spans="1:15">
      <c r="A116" s="207">
        <v>112</v>
      </c>
      <c r="B116" s="208"/>
      <c r="C116" s="209"/>
      <c r="D116" s="210"/>
      <c r="E116" s="210"/>
      <c r="F116" s="210"/>
      <c r="G116" s="209"/>
      <c r="H116" s="209"/>
      <c r="I116" s="214"/>
      <c r="J116" s="214"/>
      <c r="K116" s="214"/>
      <c r="L116" s="215"/>
      <c r="M116" s="214"/>
      <c r="N116" s="214"/>
      <c r="O116" s="205" t="s">
        <v>88</v>
      </c>
    </row>
    <row r="117" s="1" customFormat="1" ht="35.25" customHeight="1" spans="1:15">
      <c r="A117" s="207">
        <v>113</v>
      </c>
      <c r="B117" s="208"/>
      <c r="C117" s="209"/>
      <c r="D117" s="210"/>
      <c r="E117" s="210"/>
      <c r="F117" s="210"/>
      <c r="G117" s="209"/>
      <c r="H117" s="209"/>
      <c r="I117" s="214"/>
      <c r="J117" s="214"/>
      <c r="K117" s="214"/>
      <c r="L117" s="215"/>
      <c r="M117" s="214"/>
      <c r="N117" s="214"/>
      <c r="O117" s="205" t="s">
        <v>88</v>
      </c>
    </row>
    <row r="118" s="1" customFormat="1" ht="35.25" customHeight="1" spans="1:15">
      <c r="A118" s="207">
        <v>114</v>
      </c>
      <c r="B118" s="208"/>
      <c r="C118" s="209"/>
      <c r="D118" s="210"/>
      <c r="E118" s="210"/>
      <c r="F118" s="210"/>
      <c r="G118" s="209"/>
      <c r="H118" s="209"/>
      <c r="I118" s="214"/>
      <c r="J118" s="214"/>
      <c r="K118" s="214"/>
      <c r="L118" s="215"/>
      <c r="M118" s="214"/>
      <c r="N118" s="214"/>
      <c r="O118" s="205" t="s">
        <v>88</v>
      </c>
    </row>
    <row r="119" s="1" customFormat="1" ht="35.25" customHeight="1" spans="1:15">
      <c r="A119" s="207">
        <v>115</v>
      </c>
      <c r="B119" s="208"/>
      <c r="C119" s="209"/>
      <c r="D119" s="210"/>
      <c r="E119" s="210"/>
      <c r="F119" s="210"/>
      <c r="G119" s="209"/>
      <c r="H119" s="209"/>
      <c r="I119" s="214"/>
      <c r="J119" s="214"/>
      <c r="K119" s="214"/>
      <c r="L119" s="215"/>
      <c r="M119" s="214"/>
      <c r="N119" s="214"/>
      <c r="O119" s="205" t="s">
        <v>88</v>
      </c>
    </row>
    <row r="120" s="1" customFormat="1" ht="35.25" customHeight="1" spans="1:15">
      <c r="A120" s="207">
        <v>116</v>
      </c>
      <c r="B120" s="208"/>
      <c r="C120" s="209"/>
      <c r="D120" s="210"/>
      <c r="E120" s="210"/>
      <c r="F120" s="210"/>
      <c r="G120" s="209"/>
      <c r="H120" s="209"/>
      <c r="I120" s="214"/>
      <c r="J120" s="214"/>
      <c r="K120" s="214"/>
      <c r="L120" s="215"/>
      <c r="M120" s="214"/>
      <c r="N120" s="214"/>
      <c r="O120" s="205" t="s">
        <v>88</v>
      </c>
    </row>
    <row r="121" s="1" customFormat="1" ht="35.25" customHeight="1" spans="1:15">
      <c r="A121" s="207">
        <v>117</v>
      </c>
      <c r="B121" s="208"/>
      <c r="C121" s="209"/>
      <c r="D121" s="210"/>
      <c r="E121" s="210"/>
      <c r="F121" s="210"/>
      <c r="G121" s="209"/>
      <c r="H121" s="209"/>
      <c r="I121" s="214"/>
      <c r="J121" s="214"/>
      <c r="K121" s="214"/>
      <c r="L121" s="215"/>
      <c r="M121" s="214"/>
      <c r="N121" s="214"/>
      <c r="O121" s="205" t="s">
        <v>88</v>
      </c>
    </row>
    <row r="122" s="1" customFormat="1" ht="35.25" customHeight="1" spans="1:15">
      <c r="A122" s="207">
        <v>118</v>
      </c>
      <c r="B122" s="208"/>
      <c r="C122" s="209"/>
      <c r="D122" s="210"/>
      <c r="E122" s="210"/>
      <c r="F122" s="210"/>
      <c r="G122" s="209"/>
      <c r="H122" s="209"/>
      <c r="I122" s="214"/>
      <c r="J122" s="214"/>
      <c r="K122" s="214"/>
      <c r="L122" s="215"/>
      <c r="M122" s="214"/>
      <c r="N122" s="214"/>
      <c r="O122" s="205" t="s">
        <v>88</v>
      </c>
    </row>
    <row r="123" s="1" customFormat="1" ht="35.25" customHeight="1" spans="1:15">
      <c r="A123" s="207">
        <v>119</v>
      </c>
      <c r="B123" s="208"/>
      <c r="C123" s="209"/>
      <c r="D123" s="210"/>
      <c r="E123" s="210"/>
      <c r="F123" s="210"/>
      <c r="G123" s="209"/>
      <c r="H123" s="209"/>
      <c r="I123" s="214"/>
      <c r="J123" s="214"/>
      <c r="K123" s="214"/>
      <c r="L123" s="215"/>
      <c r="M123" s="214"/>
      <c r="N123" s="214"/>
      <c r="O123" s="205" t="s">
        <v>88</v>
      </c>
    </row>
    <row r="124" s="1" customFormat="1" ht="35.25" customHeight="1" spans="1:15">
      <c r="A124" s="207">
        <v>120</v>
      </c>
      <c r="B124" s="208"/>
      <c r="C124" s="209"/>
      <c r="D124" s="210"/>
      <c r="E124" s="210"/>
      <c r="F124" s="210"/>
      <c r="G124" s="209"/>
      <c r="H124" s="209"/>
      <c r="I124" s="214"/>
      <c r="J124" s="214"/>
      <c r="K124" s="214"/>
      <c r="L124" s="215"/>
      <c r="M124" s="214"/>
      <c r="N124" s="214"/>
      <c r="O124" s="205" t="s">
        <v>88</v>
      </c>
    </row>
    <row r="125" s="1" customFormat="1" ht="35.25" customHeight="1" spans="1:15">
      <c r="A125" s="207">
        <v>121</v>
      </c>
      <c r="B125" s="208"/>
      <c r="C125" s="209"/>
      <c r="D125" s="210"/>
      <c r="E125" s="210"/>
      <c r="F125" s="210"/>
      <c r="G125" s="209"/>
      <c r="H125" s="209"/>
      <c r="I125" s="214"/>
      <c r="J125" s="214"/>
      <c r="K125" s="214"/>
      <c r="L125" s="215"/>
      <c r="M125" s="214"/>
      <c r="N125" s="214"/>
      <c r="O125" s="205" t="s">
        <v>88</v>
      </c>
    </row>
    <row r="126" s="1" customFormat="1" ht="35.25" customHeight="1" spans="1:15">
      <c r="A126" s="207">
        <v>122</v>
      </c>
      <c r="B126" s="208"/>
      <c r="C126" s="209"/>
      <c r="D126" s="210"/>
      <c r="E126" s="210"/>
      <c r="F126" s="210"/>
      <c r="G126" s="209"/>
      <c r="H126" s="209"/>
      <c r="I126" s="214"/>
      <c r="J126" s="214"/>
      <c r="K126" s="214"/>
      <c r="L126" s="215"/>
      <c r="M126" s="214"/>
      <c r="N126" s="214"/>
      <c r="O126" s="205" t="s">
        <v>88</v>
      </c>
    </row>
    <row r="127" s="1" customFormat="1" ht="35.25" customHeight="1" spans="1:15">
      <c r="A127" s="207">
        <v>123</v>
      </c>
      <c r="B127" s="208"/>
      <c r="C127" s="209"/>
      <c r="D127" s="210"/>
      <c r="E127" s="210"/>
      <c r="F127" s="210"/>
      <c r="G127" s="209"/>
      <c r="H127" s="209"/>
      <c r="I127" s="214"/>
      <c r="J127" s="214"/>
      <c r="K127" s="214"/>
      <c r="L127" s="215"/>
      <c r="M127" s="214"/>
      <c r="N127" s="214"/>
      <c r="O127" s="205" t="s">
        <v>88</v>
      </c>
    </row>
    <row r="128" s="1" customFormat="1" ht="35.25" customHeight="1" spans="1:15">
      <c r="A128" s="207">
        <v>124</v>
      </c>
      <c r="B128" s="208"/>
      <c r="C128" s="209"/>
      <c r="D128" s="210"/>
      <c r="E128" s="210"/>
      <c r="F128" s="210"/>
      <c r="G128" s="209"/>
      <c r="H128" s="209"/>
      <c r="I128" s="214"/>
      <c r="J128" s="214"/>
      <c r="K128" s="214"/>
      <c r="L128" s="215"/>
      <c r="M128" s="214"/>
      <c r="N128" s="214"/>
      <c r="O128" s="205" t="s">
        <v>88</v>
      </c>
    </row>
    <row r="129" s="1" customFormat="1" ht="35.25" customHeight="1" spans="1:15">
      <c r="A129" s="207">
        <v>125</v>
      </c>
      <c r="B129" s="208"/>
      <c r="C129" s="209"/>
      <c r="D129" s="210"/>
      <c r="E129" s="210"/>
      <c r="F129" s="210"/>
      <c r="G129" s="209"/>
      <c r="H129" s="209"/>
      <c r="I129" s="214"/>
      <c r="J129" s="214"/>
      <c r="K129" s="214"/>
      <c r="L129" s="215"/>
      <c r="M129" s="214"/>
      <c r="N129" s="214"/>
      <c r="O129" s="205" t="s">
        <v>88</v>
      </c>
    </row>
    <row r="130" s="1" customFormat="1" ht="35.25" customHeight="1" spans="1:15">
      <c r="A130" s="207">
        <v>126</v>
      </c>
      <c r="B130" s="208"/>
      <c r="C130" s="209"/>
      <c r="D130" s="210"/>
      <c r="E130" s="210"/>
      <c r="F130" s="210"/>
      <c r="G130" s="209"/>
      <c r="H130" s="209"/>
      <c r="I130" s="214"/>
      <c r="J130" s="214"/>
      <c r="K130" s="214"/>
      <c r="L130" s="215"/>
      <c r="M130" s="214"/>
      <c r="N130" s="214"/>
      <c r="O130" s="205" t="s">
        <v>88</v>
      </c>
    </row>
    <row r="131" s="1" customFormat="1" ht="35.25" customHeight="1" spans="1:15">
      <c r="A131" s="207">
        <v>127</v>
      </c>
      <c r="B131" s="208"/>
      <c r="C131" s="209"/>
      <c r="D131" s="210"/>
      <c r="E131" s="210"/>
      <c r="F131" s="210"/>
      <c r="G131" s="209"/>
      <c r="H131" s="209"/>
      <c r="I131" s="214"/>
      <c r="J131" s="214"/>
      <c r="K131" s="214"/>
      <c r="L131" s="215"/>
      <c r="M131" s="214"/>
      <c r="N131" s="214"/>
      <c r="O131" s="205" t="s">
        <v>88</v>
      </c>
    </row>
    <row r="132" s="1" customFormat="1" ht="35.25" customHeight="1" spans="1:15">
      <c r="A132" s="207">
        <v>128</v>
      </c>
      <c r="B132" s="208"/>
      <c r="C132" s="209"/>
      <c r="D132" s="210"/>
      <c r="E132" s="210"/>
      <c r="F132" s="210"/>
      <c r="G132" s="209"/>
      <c r="H132" s="209"/>
      <c r="I132" s="214"/>
      <c r="J132" s="214"/>
      <c r="K132" s="214"/>
      <c r="L132" s="215"/>
      <c r="M132" s="214"/>
      <c r="N132" s="214"/>
      <c r="O132" s="205" t="s">
        <v>88</v>
      </c>
    </row>
    <row r="133" s="1" customFormat="1" ht="35.25" customHeight="1" spans="1:15">
      <c r="A133" s="207">
        <v>129</v>
      </c>
      <c r="B133" s="208"/>
      <c r="C133" s="209"/>
      <c r="D133" s="210"/>
      <c r="E133" s="210"/>
      <c r="F133" s="210"/>
      <c r="G133" s="209"/>
      <c r="H133" s="209"/>
      <c r="I133" s="214"/>
      <c r="J133" s="214"/>
      <c r="K133" s="214"/>
      <c r="L133" s="215"/>
      <c r="M133" s="214"/>
      <c r="N133" s="214"/>
      <c r="O133" s="205" t="s">
        <v>88</v>
      </c>
    </row>
    <row r="134" s="1" customFormat="1" ht="35.25" customHeight="1" spans="1:15">
      <c r="A134" s="207">
        <v>130</v>
      </c>
      <c r="B134" s="208"/>
      <c r="C134" s="209"/>
      <c r="D134" s="210"/>
      <c r="E134" s="210"/>
      <c r="F134" s="210"/>
      <c r="G134" s="209"/>
      <c r="H134" s="209"/>
      <c r="I134" s="214"/>
      <c r="J134" s="214"/>
      <c r="K134" s="214"/>
      <c r="L134" s="215"/>
      <c r="M134" s="214"/>
      <c r="N134" s="214"/>
      <c r="O134" s="205" t="s">
        <v>88</v>
      </c>
    </row>
    <row r="135" s="1" customFormat="1" ht="35.25" customHeight="1" spans="1:15">
      <c r="A135" s="207">
        <v>131</v>
      </c>
      <c r="B135" s="208"/>
      <c r="C135" s="209"/>
      <c r="D135" s="210"/>
      <c r="E135" s="210"/>
      <c r="F135" s="210"/>
      <c r="G135" s="209"/>
      <c r="H135" s="209"/>
      <c r="I135" s="214"/>
      <c r="J135" s="214"/>
      <c r="K135" s="214"/>
      <c r="L135" s="215"/>
      <c r="M135" s="214"/>
      <c r="N135" s="214"/>
      <c r="O135" s="205" t="s">
        <v>88</v>
      </c>
    </row>
    <row r="136" s="1" customFormat="1" ht="35.25" customHeight="1" spans="1:15">
      <c r="A136" s="207">
        <v>132</v>
      </c>
      <c r="B136" s="208"/>
      <c r="C136" s="209"/>
      <c r="D136" s="210"/>
      <c r="E136" s="210"/>
      <c r="F136" s="210"/>
      <c r="G136" s="209"/>
      <c r="H136" s="209"/>
      <c r="I136" s="214"/>
      <c r="J136" s="214"/>
      <c r="K136" s="214"/>
      <c r="L136" s="215"/>
      <c r="M136" s="214"/>
      <c r="N136" s="214"/>
      <c r="O136" s="205" t="s">
        <v>88</v>
      </c>
    </row>
    <row r="137" s="1" customFormat="1" ht="35.25" customHeight="1" spans="1:15">
      <c r="A137" s="207">
        <v>133</v>
      </c>
      <c r="B137" s="208"/>
      <c r="C137" s="209"/>
      <c r="D137" s="210"/>
      <c r="E137" s="210"/>
      <c r="F137" s="210"/>
      <c r="G137" s="209"/>
      <c r="H137" s="209"/>
      <c r="I137" s="214"/>
      <c r="J137" s="214"/>
      <c r="K137" s="214"/>
      <c r="L137" s="215"/>
      <c r="M137" s="214"/>
      <c r="N137" s="214"/>
      <c r="O137" s="205" t="s">
        <v>88</v>
      </c>
    </row>
    <row r="138" s="1" customFormat="1" ht="35.25" customHeight="1" spans="1:15">
      <c r="A138" s="207">
        <v>134</v>
      </c>
      <c r="B138" s="208"/>
      <c r="C138" s="209"/>
      <c r="D138" s="210"/>
      <c r="E138" s="210"/>
      <c r="F138" s="210"/>
      <c r="G138" s="209"/>
      <c r="H138" s="209"/>
      <c r="I138" s="214"/>
      <c r="J138" s="214"/>
      <c r="K138" s="214"/>
      <c r="L138" s="215"/>
      <c r="M138" s="214"/>
      <c r="N138" s="214"/>
      <c r="O138" s="205" t="s">
        <v>88</v>
      </c>
    </row>
    <row r="139" s="1" customFormat="1" ht="35.25" customHeight="1" spans="1:15">
      <c r="A139" s="207">
        <v>135</v>
      </c>
      <c r="B139" s="208"/>
      <c r="C139" s="209"/>
      <c r="D139" s="210"/>
      <c r="E139" s="210"/>
      <c r="F139" s="210"/>
      <c r="G139" s="209"/>
      <c r="H139" s="209"/>
      <c r="I139" s="214"/>
      <c r="J139" s="214"/>
      <c r="K139" s="214"/>
      <c r="L139" s="215"/>
      <c r="M139" s="214"/>
      <c r="N139" s="214"/>
      <c r="O139" s="205" t="s">
        <v>88</v>
      </c>
    </row>
    <row r="140" s="1" customFormat="1" ht="35.25" customHeight="1" spans="1:15">
      <c r="A140" s="207">
        <v>136</v>
      </c>
      <c r="B140" s="208"/>
      <c r="C140" s="209"/>
      <c r="D140" s="210"/>
      <c r="E140" s="210"/>
      <c r="F140" s="210"/>
      <c r="G140" s="209"/>
      <c r="H140" s="209"/>
      <c r="I140" s="214"/>
      <c r="J140" s="214"/>
      <c r="K140" s="214"/>
      <c r="L140" s="215"/>
      <c r="M140" s="214"/>
      <c r="N140" s="214"/>
      <c r="O140" s="205" t="s">
        <v>88</v>
      </c>
    </row>
    <row r="141" s="1" customFormat="1" ht="35.25" customHeight="1" spans="1:15">
      <c r="A141" s="207">
        <v>137</v>
      </c>
      <c r="B141" s="208"/>
      <c r="C141" s="209"/>
      <c r="D141" s="210"/>
      <c r="E141" s="210"/>
      <c r="F141" s="210"/>
      <c r="G141" s="209"/>
      <c r="H141" s="209"/>
      <c r="I141" s="214"/>
      <c r="J141" s="214"/>
      <c r="K141" s="214"/>
      <c r="L141" s="215"/>
      <c r="M141" s="214"/>
      <c r="N141" s="214"/>
      <c r="O141" s="205" t="s">
        <v>88</v>
      </c>
    </row>
    <row r="142" s="1" customFormat="1" ht="35.25" customHeight="1" spans="1:15">
      <c r="A142" s="207">
        <v>138</v>
      </c>
      <c r="B142" s="208"/>
      <c r="C142" s="209"/>
      <c r="D142" s="210"/>
      <c r="E142" s="210"/>
      <c r="F142" s="210"/>
      <c r="G142" s="209"/>
      <c r="H142" s="209"/>
      <c r="I142" s="214"/>
      <c r="J142" s="214"/>
      <c r="K142" s="214"/>
      <c r="L142" s="215"/>
      <c r="M142" s="214"/>
      <c r="N142" s="214"/>
      <c r="O142" s="205" t="s">
        <v>88</v>
      </c>
    </row>
    <row r="143" s="1" customFormat="1" ht="35.25" customHeight="1" spans="1:15">
      <c r="A143" s="207">
        <v>139</v>
      </c>
      <c r="B143" s="208"/>
      <c r="C143" s="209"/>
      <c r="D143" s="210"/>
      <c r="E143" s="210"/>
      <c r="F143" s="210"/>
      <c r="G143" s="209"/>
      <c r="H143" s="209"/>
      <c r="I143" s="214"/>
      <c r="J143" s="214"/>
      <c r="K143" s="214"/>
      <c r="L143" s="215"/>
      <c r="M143" s="214"/>
      <c r="N143" s="214"/>
      <c r="O143" s="205" t="s">
        <v>88</v>
      </c>
    </row>
    <row r="144" s="1" customFormat="1" ht="35.25" customHeight="1" spans="1:15">
      <c r="A144" s="207">
        <v>140</v>
      </c>
      <c r="B144" s="208"/>
      <c r="C144" s="209"/>
      <c r="D144" s="210"/>
      <c r="E144" s="210"/>
      <c r="F144" s="210"/>
      <c r="G144" s="209"/>
      <c r="H144" s="209"/>
      <c r="I144" s="214"/>
      <c r="J144" s="214"/>
      <c r="K144" s="214"/>
      <c r="L144" s="215"/>
      <c r="M144" s="214"/>
      <c r="N144" s="214"/>
      <c r="O144" s="205" t="s">
        <v>88</v>
      </c>
    </row>
    <row r="145" s="1" customFormat="1" ht="35.25" customHeight="1" spans="1:15">
      <c r="A145" s="207">
        <v>141</v>
      </c>
      <c r="B145" s="208"/>
      <c r="C145" s="209"/>
      <c r="D145" s="210"/>
      <c r="E145" s="210"/>
      <c r="F145" s="210"/>
      <c r="G145" s="209"/>
      <c r="H145" s="209"/>
      <c r="I145" s="214"/>
      <c r="J145" s="214"/>
      <c r="K145" s="214"/>
      <c r="L145" s="215"/>
      <c r="M145" s="214"/>
      <c r="N145" s="214"/>
      <c r="O145" s="205" t="s">
        <v>88</v>
      </c>
    </row>
    <row r="146" s="1" customFormat="1" ht="35.25" customHeight="1" spans="1:15">
      <c r="A146" s="207">
        <v>142</v>
      </c>
      <c r="B146" s="208"/>
      <c r="C146" s="209"/>
      <c r="D146" s="210"/>
      <c r="E146" s="210"/>
      <c r="F146" s="210"/>
      <c r="G146" s="209"/>
      <c r="H146" s="209"/>
      <c r="I146" s="214"/>
      <c r="J146" s="214"/>
      <c r="K146" s="214"/>
      <c r="L146" s="215"/>
      <c r="M146" s="214"/>
      <c r="N146" s="214"/>
      <c r="O146" s="205" t="s">
        <v>88</v>
      </c>
    </row>
    <row r="147" s="1" customFormat="1" ht="35.25" customHeight="1" spans="1:15">
      <c r="A147" s="207">
        <v>143</v>
      </c>
      <c r="B147" s="208"/>
      <c r="C147" s="209"/>
      <c r="D147" s="210"/>
      <c r="E147" s="210"/>
      <c r="F147" s="210"/>
      <c r="G147" s="209"/>
      <c r="H147" s="209"/>
      <c r="I147" s="214"/>
      <c r="J147" s="214"/>
      <c r="K147" s="214"/>
      <c r="L147" s="215"/>
      <c r="M147" s="214"/>
      <c r="N147" s="214"/>
      <c r="O147" s="205" t="s">
        <v>88</v>
      </c>
    </row>
    <row r="148" s="1" customFormat="1" ht="35.25" customHeight="1" spans="1:15">
      <c r="A148" s="207">
        <v>144</v>
      </c>
      <c r="B148" s="208"/>
      <c r="C148" s="209"/>
      <c r="D148" s="210"/>
      <c r="E148" s="210"/>
      <c r="F148" s="210"/>
      <c r="G148" s="209"/>
      <c r="H148" s="209"/>
      <c r="I148" s="214"/>
      <c r="J148" s="214"/>
      <c r="K148" s="214"/>
      <c r="L148" s="215"/>
      <c r="M148" s="214"/>
      <c r="N148" s="214"/>
      <c r="O148" s="205" t="s">
        <v>88</v>
      </c>
    </row>
    <row r="149" s="1" customFormat="1" ht="35.25" customHeight="1" spans="1:15">
      <c r="A149" s="207">
        <v>145</v>
      </c>
      <c r="B149" s="208"/>
      <c r="C149" s="209"/>
      <c r="D149" s="209"/>
      <c r="E149" s="210"/>
      <c r="F149" s="210"/>
      <c r="G149" s="209"/>
      <c r="H149" s="209"/>
      <c r="I149" s="214"/>
      <c r="J149" s="214"/>
      <c r="K149" s="214"/>
      <c r="L149" s="215"/>
      <c r="M149" s="214"/>
      <c r="N149" s="214"/>
      <c r="O149" s="205" t="s">
        <v>88</v>
      </c>
    </row>
    <row r="150" s="1" customFormat="1" ht="35.25" customHeight="1" spans="1:15">
      <c r="A150" s="207">
        <v>146</v>
      </c>
      <c r="B150" s="208"/>
      <c r="C150" s="209"/>
      <c r="D150" s="210"/>
      <c r="E150" s="210"/>
      <c r="F150" s="210"/>
      <c r="G150" s="209"/>
      <c r="H150" s="209"/>
      <c r="I150" s="214"/>
      <c r="J150" s="214"/>
      <c r="K150" s="214"/>
      <c r="L150" s="215"/>
      <c r="M150" s="214"/>
      <c r="N150" s="214"/>
      <c r="O150" s="205" t="s">
        <v>88</v>
      </c>
    </row>
    <row r="151" s="1" customFormat="1" ht="35.25" customHeight="1" spans="1:15">
      <c r="A151" s="207">
        <v>147</v>
      </c>
      <c r="B151" s="208"/>
      <c r="C151" s="209"/>
      <c r="D151" s="210"/>
      <c r="E151" s="210"/>
      <c r="F151" s="210"/>
      <c r="G151" s="209"/>
      <c r="H151" s="209"/>
      <c r="I151" s="214"/>
      <c r="J151" s="214"/>
      <c r="K151" s="214"/>
      <c r="L151" s="215"/>
      <c r="M151" s="214"/>
      <c r="N151" s="214"/>
      <c r="O151" s="205" t="s">
        <v>88</v>
      </c>
    </row>
    <row r="152" s="1" customFormat="1" ht="35.25" customHeight="1" spans="1:15">
      <c r="A152" s="207">
        <v>148</v>
      </c>
      <c r="B152" s="208"/>
      <c r="C152" s="209"/>
      <c r="D152" s="210"/>
      <c r="E152" s="210"/>
      <c r="F152" s="210"/>
      <c r="G152" s="209"/>
      <c r="H152" s="209"/>
      <c r="I152" s="214"/>
      <c r="J152" s="214"/>
      <c r="K152" s="214"/>
      <c r="L152" s="215"/>
      <c r="M152" s="214"/>
      <c r="N152" s="214"/>
      <c r="O152" s="205" t="s">
        <v>88</v>
      </c>
    </row>
    <row r="153" s="1" customFormat="1" ht="35.25" customHeight="1" spans="1:15">
      <c r="A153" s="207">
        <v>149</v>
      </c>
      <c r="B153" s="208"/>
      <c r="C153" s="209"/>
      <c r="D153" s="210"/>
      <c r="E153" s="210"/>
      <c r="F153" s="210"/>
      <c r="G153" s="209"/>
      <c r="H153" s="209"/>
      <c r="I153" s="214"/>
      <c r="J153" s="214"/>
      <c r="K153" s="214"/>
      <c r="L153" s="215"/>
      <c r="M153" s="214"/>
      <c r="N153" s="214"/>
      <c r="O153" s="205" t="s">
        <v>88</v>
      </c>
    </row>
    <row r="154" s="1" customFormat="1" ht="35.25" customHeight="1" spans="1:15">
      <c r="A154" s="207">
        <v>150</v>
      </c>
      <c r="B154" s="208"/>
      <c r="C154" s="209"/>
      <c r="D154" s="210"/>
      <c r="E154" s="210"/>
      <c r="F154" s="210"/>
      <c r="G154" s="209"/>
      <c r="H154" s="209"/>
      <c r="I154" s="214"/>
      <c r="J154" s="214"/>
      <c r="K154" s="214"/>
      <c r="L154" s="215"/>
      <c r="M154" s="214"/>
      <c r="N154" s="214"/>
      <c r="O154" s="205" t="s">
        <v>88</v>
      </c>
    </row>
    <row r="155" s="1" customFormat="1" ht="35.25" customHeight="1" spans="1:15">
      <c r="A155" s="207">
        <v>151</v>
      </c>
      <c r="B155" s="208"/>
      <c r="C155" s="209"/>
      <c r="D155" s="210"/>
      <c r="E155" s="210"/>
      <c r="F155" s="210"/>
      <c r="G155" s="209"/>
      <c r="H155" s="209"/>
      <c r="I155" s="214"/>
      <c r="J155" s="214"/>
      <c r="K155" s="214"/>
      <c r="L155" s="215"/>
      <c r="M155" s="214"/>
      <c r="N155" s="214"/>
      <c r="O155" s="205" t="s">
        <v>88</v>
      </c>
    </row>
    <row r="156" s="1" customFormat="1" ht="35.25" customHeight="1" spans="1:15">
      <c r="A156" s="207">
        <v>152</v>
      </c>
      <c r="B156" s="208"/>
      <c r="C156" s="209"/>
      <c r="D156" s="210"/>
      <c r="E156" s="210"/>
      <c r="F156" s="210"/>
      <c r="G156" s="209"/>
      <c r="H156" s="209"/>
      <c r="I156" s="214"/>
      <c r="J156" s="214"/>
      <c r="K156" s="214"/>
      <c r="L156" s="215"/>
      <c r="M156" s="214"/>
      <c r="N156" s="214"/>
      <c r="O156" s="205" t="s">
        <v>88</v>
      </c>
    </row>
    <row r="157" s="1" customFormat="1" ht="35.25" customHeight="1" spans="1:15">
      <c r="A157" s="207">
        <v>153</v>
      </c>
      <c r="B157" s="208"/>
      <c r="C157" s="209"/>
      <c r="D157" s="210"/>
      <c r="E157" s="210"/>
      <c r="F157" s="210"/>
      <c r="G157" s="209"/>
      <c r="H157" s="209"/>
      <c r="I157" s="214"/>
      <c r="J157" s="214"/>
      <c r="K157" s="214"/>
      <c r="L157" s="215"/>
      <c r="M157" s="214"/>
      <c r="N157" s="214"/>
      <c r="O157" s="205" t="s">
        <v>88</v>
      </c>
    </row>
    <row r="158" s="1" customFormat="1" ht="35.25" customHeight="1" spans="1:15">
      <c r="A158" s="207">
        <v>154</v>
      </c>
      <c r="B158" s="208"/>
      <c r="C158" s="209"/>
      <c r="D158" s="210"/>
      <c r="E158" s="210"/>
      <c r="F158" s="210"/>
      <c r="G158" s="209"/>
      <c r="H158" s="209"/>
      <c r="I158" s="214"/>
      <c r="J158" s="214"/>
      <c r="K158" s="214"/>
      <c r="L158" s="215"/>
      <c r="M158" s="214"/>
      <c r="N158" s="214"/>
      <c r="O158" s="205" t="s">
        <v>88</v>
      </c>
    </row>
    <row r="159" s="1" customFormat="1" ht="35.25" customHeight="1" spans="1:15">
      <c r="A159" s="207">
        <v>155</v>
      </c>
      <c r="B159" s="208"/>
      <c r="C159" s="209"/>
      <c r="D159" s="210"/>
      <c r="E159" s="210"/>
      <c r="F159" s="210"/>
      <c r="G159" s="209"/>
      <c r="H159" s="209"/>
      <c r="I159" s="214"/>
      <c r="J159" s="214"/>
      <c r="K159" s="214"/>
      <c r="L159" s="215"/>
      <c r="M159" s="214"/>
      <c r="N159" s="214"/>
      <c r="O159" s="205" t="s">
        <v>88</v>
      </c>
    </row>
    <row r="160" s="1" customFormat="1" ht="35.25" customHeight="1" spans="1:15">
      <c r="A160" s="207">
        <v>156</v>
      </c>
      <c r="B160" s="208"/>
      <c r="C160" s="209"/>
      <c r="D160" s="210"/>
      <c r="E160" s="210"/>
      <c r="F160" s="210"/>
      <c r="G160" s="209"/>
      <c r="H160" s="209"/>
      <c r="I160" s="214"/>
      <c r="J160" s="214"/>
      <c r="K160" s="214"/>
      <c r="L160" s="215"/>
      <c r="M160" s="214"/>
      <c r="N160" s="214"/>
      <c r="O160" s="205" t="s">
        <v>88</v>
      </c>
    </row>
    <row r="161" s="1" customFormat="1" ht="35.25" customHeight="1" spans="1:15">
      <c r="A161" s="207">
        <v>157</v>
      </c>
      <c r="B161" s="208"/>
      <c r="C161" s="209"/>
      <c r="D161" s="210"/>
      <c r="E161" s="210"/>
      <c r="F161" s="210"/>
      <c r="G161" s="209"/>
      <c r="H161" s="209"/>
      <c r="I161" s="214"/>
      <c r="J161" s="214"/>
      <c r="K161" s="214"/>
      <c r="L161" s="215"/>
      <c r="M161" s="214"/>
      <c r="N161" s="214"/>
      <c r="O161" s="205" t="s">
        <v>88</v>
      </c>
    </row>
    <row r="162" s="1" customFormat="1" ht="35.25" customHeight="1" spans="1:15">
      <c r="A162" s="207">
        <v>158</v>
      </c>
      <c r="B162" s="208"/>
      <c r="C162" s="209"/>
      <c r="D162" s="210"/>
      <c r="E162" s="210"/>
      <c r="F162" s="210"/>
      <c r="G162" s="209"/>
      <c r="H162" s="209"/>
      <c r="I162" s="214"/>
      <c r="J162" s="214"/>
      <c r="K162" s="214"/>
      <c r="L162" s="215"/>
      <c r="M162" s="214"/>
      <c r="N162" s="214"/>
      <c r="O162" s="205" t="s">
        <v>88</v>
      </c>
    </row>
    <row r="163" s="1" customFormat="1" ht="35.25" customHeight="1" spans="1:15">
      <c r="A163" s="207">
        <v>159</v>
      </c>
      <c r="B163" s="208"/>
      <c r="C163" s="209"/>
      <c r="D163" s="210"/>
      <c r="E163" s="210"/>
      <c r="F163" s="210"/>
      <c r="G163" s="209"/>
      <c r="H163" s="209"/>
      <c r="I163" s="214"/>
      <c r="J163" s="214"/>
      <c r="K163" s="214"/>
      <c r="L163" s="215"/>
      <c r="M163" s="214"/>
      <c r="N163" s="214"/>
      <c r="O163" s="205" t="s">
        <v>88</v>
      </c>
    </row>
    <row r="164" s="1" customFormat="1" ht="35.25" customHeight="1" spans="1:15">
      <c r="A164" s="207">
        <v>160</v>
      </c>
      <c r="B164" s="208"/>
      <c r="C164" s="209"/>
      <c r="D164" s="210"/>
      <c r="E164" s="210"/>
      <c r="F164" s="210"/>
      <c r="G164" s="209"/>
      <c r="H164" s="209"/>
      <c r="I164" s="214"/>
      <c r="J164" s="214"/>
      <c r="K164" s="214"/>
      <c r="L164" s="215"/>
      <c r="M164" s="214"/>
      <c r="N164" s="214"/>
      <c r="O164" s="205" t="s">
        <v>88</v>
      </c>
    </row>
    <row r="165" s="1" customFormat="1" ht="35.25" customHeight="1" spans="1:15">
      <c r="A165" s="207">
        <v>161</v>
      </c>
      <c r="B165" s="208"/>
      <c r="C165" s="209"/>
      <c r="D165" s="210"/>
      <c r="E165" s="210"/>
      <c r="F165" s="210"/>
      <c r="G165" s="209"/>
      <c r="H165" s="209"/>
      <c r="I165" s="214"/>
      <c r="J165" s="214"/>
      <c r="K165" s="214"/>
      <c r="L165" s="215"/>
      <c r="M165" s="214"/>
      <c r="N165" s="214"/>
      <c r="O165" s="205" t="s">
        <v>88</v>
      </c>
    </row>
    <row r="166" s="1" customFormat="1" ht="35.25" customHeight="1" spans="1:15">
      <c r="A166" s="207">
        <v>162</v>
      </c>
      <c r="B166" s="208"/>
      <c r="C166" s="209"/>
      <c r="D166" s="210"/>
      <c r="E166" s="210"/>
      <c r="F166" s="210"/>
      <c r="G166" s="209"/>
      <c r="H166" s="209"/>
      <c r="I166" s="214"/>
      <c r="J166" s="214"/>
      <c r="K166" s="214"/>
      <c r="L166" s="215"/>
      <c r="M166" s="214"/>
      <c r="N166" s="214"/>
      <c r="O166" s="205" t="s">
        <v>88</v>
      </c>
    </row>
    <row r="167" s="1" customFormat="1" ht="35.25" customHeight="1" spans="1:15">
      <c r="A167" s="207">
        <v>163</v>
      </c>
      <c r="B167" s="208"/>
      <c r="C167" s="209"/>
      <c r="D167" s="210"/>
      <c r="E167" s="210"/>
      <c r="F167" s="210"/>
      <c r="G167" s="209"/>
      <c r="H167" s="209"/>
      <c r="I167" s="214"/>
      <c r="J167" s="214"/>
      <c r="K167" s="214"/>
      <c r="L167" s="215"/>
      <c r="M167" s="214"/>
      <c r="N167" s="214"/>
      <c r="O167" s="205" t="s">
        <v>88</v>
      </c>
    </row>
    <row r="168" s="1" customFormat="1" ht="35.25" customHeight="1" spans="1:15">
      <c r="A168" s="207">
        <v>164</v>
      </c>
      <c r="B168" s="208"/>
      <c r="C168" s="209"/>
      <c r="D168" s="210"/>
      <c r="E168" s="210"/>
      <c r="F168" s="210"/>
      <c r="G168" s="209"/>
      <c r="H168" s="209"/>
      <c r="I168" s="214"/>
      <c r="J168" s="214"/>
      <c r="K168" s="214"/>
      <c r="L168" s="215"/>
      <c r="M168" s="214"/>
      <c r="N168" s="214"/>
      <c r="O168" s="205" t="s">
        <v>88</v>
      </c>
    </row>
    <row r="169" s="1" customFormat="1" ht="35.25" customHeight="1" spans="1:15">
      <c r="A169" s="207">
        <v>165</v>
      </c>
      <c r="B169" s="208"/>
      <c r="C169" s="209"/>
      <c r="D169" s="210"/>
      <c r="E169" s="210"/>
      <c r="F169" s="210"/>
      <c r="G169" s="209"/>
      <c r="H169" s="209"/>
      <c r="I169" s="214"/>
      <c r="J169" s="214"/>
      <c r="K169" s="214"/>
      <c r="L169" s="215"/>
      <c r="M169" s="214"/>
      <c r="N169" s="214"/>
      <c r="O169" s="205" t="s">
        <v>88</v>
      </c>
    </row>
    <row r="170" s="1" customFormat="1" ht="35.25" customHeight="1" spans="1:15">
      <c r="A170" s="207">
        <v>166</v>
      </c>
      <c r="B170" s="208"/>
      <c r="C170" s="209"/>
      <c r="D170" s="210"/>
      <c r="E170" s="210"/>
      <c r="F170" s="210"/>
      <c r="G170" s="209"/>
      <c r="H170" s="209"/>
      <c r="I170" s="214"/>
      <c r="J170" s="214"/>
      <c r="K170" s="214"/>
      <c r="L170" s="215"/>
      <c r="M170" s="214"/>
      <c r="N170" s="214"/>
      <c r="O170" s="205" t="s">
        <v>88</v>
      </c>
    </row>
    <row r="171" s="1" customFormat="1" ht="35.25" customHeight="1" spans="1:15">
      <c r="A171" s="207">
        <v>167</v>
      </c>
      <c r="B171" s="208"/>
      <c r="C171" s="209"/>
      <c r="D171" s="210"/>
      <c r="E171" s="210"/>
      <c r="F171" s="210"/>
      <c r="G171" s="209"/>
      <c r="H171" s="209"/>
      <c r="I171" s="214"/>
      <c r="J171" s="214"/>
      <c r="K171" s="214"/>
      <c r="L171" s="215"/>
      <c r="M171" s="214"/>
      <c r="N171" s="214"/>
      <c r="O171" s="205" t="s">
        <v>88</v>
      </c>
    </row>
    <row r="172" s="1" customFormat="1" ht="35.25" customHeight="1" spans="1:15">
      <c r="A172" s="207">
        <v>168</v>
      </c>
      <c r="B172" s="208"/>
      <c r="C172" s="209"/>
      <c r="D172" s="210"/>
      <c r="E172" s="210"/>
      <c r="F172" s="210"/>
      <c r="G172" s="209"/>
      <c r="H172" s="209"/>
      <c r="I172" s="214"/>
      <c r="J172" s="214"/>
      <c r="K172" s="214"/>
      <c r="L172" s="215"/>
      <c r="M172" s="214"/>
      <c r="N172" s="214"/>
      <c r="O172" s="205" t="s">
        <v>88</v>
      </c>
    </row>
    <row r="173" s="1" customFormat="1" ht="35.25" customHeight="1" spans="1:15">
      <c r="A173" s="207">
        <v>169</v>
      </c>
      <c r="B173" s="208"/>
      <c r="C173" s="209"/>
      <c r="D173" s="209"/>
      <c r="E173" s="210"/>
      <c r="F173" s="210"/>
      <c r="G173" s="209"/>
      <c r="H173" s="209"/>
      <c r="I173" s="214"/>
      <c r="J173" s="214"/>
      <c r="K173" s="214"/>
      <c r="L173" s="215"/>
      <c r="M173" s="214"/>
      <c r="N173" s="214"/>
      <c r="O173" s="205" t="s">
        <v>88</v>
      </c>
    </row>
    <row r="174" s="1" customFormat="1" ht="35.25" customHeight="1" spans="1:15">
      <c r="A174" s="207">
        <v>170</v>
      </c>
      <c r="B174" s="208"/>
      <c r="C174" s="209"/>
      <c r="D174" s="209"/>
      <c r="E174" s="210"/>
      <c r="F174" s="210"/>
      <c r="G174" s="209"/>
      <c r="H174" s="209"/>
      <c r="I174" s="214"/>
      <c r="J174" s="214"/>
      <c r="K174" s="214"/>
      <c r="L174" s="215"/>
      <c r="M174" s="214"/>
      <c r="N174" s="214"/>
      <c r="O174" s="205" t="s">
        <v>88</v>
      </c>
    </row>
    <row r="175" s="1" customFormat="1" ht="35.25" customHeight="1" spans="1:15">
      <c r="A175" s="207">
        <v>171</v>
      </c>
      <c r="B175" s="208"/>
      <c r="C175" s="209"/>
      <c r="D175" s="210"/>
      <c r="E175" s="210"/>
      <c r="F175" s="210"/>
      <c r="G175" s="209"/>
      <c r="H175" s="209"/>
      <c r="I175" s="214"/>
      <c r="J175" s="214"/>
      <c r="K175" s="214"/>
      <c r="L175" s="215"/>
      <c r="M175" s="214"/>
      <c r="N175" s="214"/>
      <c r="O175" s="205" t="s">
        <v>88</v>
      </c>
    </row>
    <row r="176" s="1" customFormat="1" ht="35.25" customHeight="1" spans="1:15">
      <c r="A176" s="207">
        <v>172</v>
      </c>
      <c r="B176" s="208"/>
      <c r="C176" s="209"/>
      <c r="D176" s="210"/>
      <c r="E176" s="210"/>
      <c r="F176" s="210"/>
      <c r="G176" s="209"/>
      <c r="H176" s="209"/>
      <c r="I176" s="214"/>
      <c r="J176" s="214"/>
      <c r="K176" s="214"/>
      <c r="L176" s="215"/>
      <c r="M176" s="214"/>
      <c r="N176" s="214"/>
      <c r="O176" s="205" t="s">
        <v>88</v>
      </c>
    </row>
    <row r="177" s="1" customFormat="1" ht="35.25" customHeight="1" spans="1:15">
      <c r="A177" s="207">
        <v>173</v>
      </c>
      <c r="B177" s="208"/>
      <c r="C177" s="209"/>
      <c r="D177" s="210"/>
      <c r="E177" s="210"/>
      <c r="F177" s="210"/>
      <c r="G177" s="209"/>
      <c r="H177" s="209"/>
      <c r="I177" s="214"/>
      <c r="J177" s="214"/>
      <c r="K177" s="214"/>
      <c r="L177" s="215"/>
      <c r="M177" s="214"/>
      <c r="N177" s="214"/>
      <c r="O177" s="205" t="s">
        <v>88</v>
      </c>
    </row>
    <row r="178" s="1" customFormat="1" ht="35.25" customHeight="1" spans="1:15">
      <c r="A178" s="207">
        <v>174</v>
      </c>
      <c r="B178" s="208"/>
      <c r="C178" s="209"/>
      <c r="D178" s="210"/>
      <c r="E178" s="210"/>
      <c r="F178" s="210"/>
      <c r="G178" s="209"/>
      <c r="H178" s="209"/>
      <c r="I178" s="214"/>
      <c r="J178" s="214"/>
      <c r="K178" s="214"/>
      <c r="L178" s="215"/>
      <c r="M178" s="214"/>
      <c r="N178" s="214"/>
      <c r="O178" s="205" t="s">
        <v>88</v>
      </c>
    </row>
    <row r="179" s="1" customFormat="1" ht="35.25" customHeight="1" spans="1:15">
      <c r="A179" s="207">
        <v>175</v>
      </c>
      <c r="B179" s="208"/>
      <c r="C179" s="209"/>
      <c r="D179" s="210"/>
      <c r="E179" s="210"/>
      <c r="F179" s="210"/>
      <c r="G179" s="209"/>
      <c r="H179" s="209"/>
      <c r="I179" s="214"/>
      <c r="J179" s="214"/>
      <c r="K179" s="214"/>
      <c r="L179" s="215"/>
      <c r="M179" s="214"/>
      <c r="N179" s="214"/>
      <c r="O179" s="205" t="s">
        <v>88</v>
      </c>
    </row>
    <row r="180" s="1" customFormat="1" ht="35.25" customHeight="1" spans="1:15">
      <c r="A180" s="207">
        <v>176</v>
      </c>
      <c r="B180" s="208"/>
      <c r="C180" s="209"/>
      <c r="D180" s="210"/>
      <c r="E180" s="210"/>
      <c r="F180" s="210"/>
      <c r="G180" s="209"/>
      <c r="H180" s="209"/>
      <c r="I180" s="214"/>
      <c r="J180" s="214"/>
      <c r="K180" s="214"/>
      <c r="L180" s="215"/>
      <c r="M180" s="214"/>
      <c r="N180" s="214"/>
      <c r="O180" s="205" t="s">
        <v>88</v>
      </c>
    </row>
    <row r="181" s="1" customFormat="1" ht="35.25" customHeight="1" spans="1:15">
      <c r="A181" s="207">
        <v>177</v>
      </c>
      <c r="B181" s="208"/>
      <c r="C181" s="209"/>
      <c r="D181" s="210"/>
      <c r="E181" s="210"/>
      <c r="F181" s="210"/>
      <c r="G181" s="209"/>
      <c r="H181" s="209"/>
      <c r="I181" s="214"/>
      <c r="J181" s="214"/>
      <c r="K181" s="214"/>
      <c r="L181" s="215"/>
      <c r="M181" s="214"/>
      <c r="N181" s="214"/>
      <c r="O181" s="205" t="s">
        <v>88</v>
      </c>
    </row>
    <row r="182" s="1" customFormat="1" ht="35.25" customHeight="1" spans="1:15">
      <c r="A182" s="207">
        <v>178</v>
      </c>
      <c r="B182" s="208"/>
      <c r="C182" s="209"/>
      <c r="D182" s="210"/>
      <c r="E182" s="210"/>
      <c r="F182" s="210"/>
      <c r="G182" s="209"/>
      <c r="H182" s="209"/>
      <c r="I182" s="214"/>
      <c r="J182" s="214"/>
      <c r="K182" s="214"/>
      <c r="L182" s="215"/>
      <c r="M182" s="214"/>
      <c r="N182" s="214"/>
      <c r="O182" s="205" t="s">
        <v>88</v>
      </c>
    </row>
    <row r="183" s="1" customFormat="1" ht="35.25" customHeight="1" spans="1:15">
      <c r="A183" s="207">
        <v>179</v>
      </c>
      <c r="B183" s="208"/>
      <c r="C183" s="209"/>
      <c r="D183" s="210"/>
      <c r="E183" s="210"/>
      <c r="F183" s="210"/>
      <c r="G183" s="209"/>
      <c r="H183" s="209"/>
      <c r="I183" s="214"/>
      <c r="J183" s="214"/>
      <c r="K183" s="214"/>
      <c r="L183" s="215"/>
      <c r="M183" s="214"/>
      <c r="N183" s="214"/>
      <c r="O183" s="205" t="s">
        <v>88</v>
      </c>
    </row>
    <row r="184" s="1" customFormat="1" ht="35.25" customHeight="1" spans="1:15">
      <c r="A184" s="207">
        <v>180</v>
      </c>
      <c r="B184" s="208"/>
      <c r="C184" s="209"/>
      <c r="D184" s="210"/>
      <c r="E184" s="210"/>
      <c r="F184" s="210"/>
      <c r="G184" s="209"/>
      <c r="H184" s="209"/>
      <c r="I184" s="214"/>
      <c r="J184" s="214"/>
      <c r="K184" s="214"/>
      <c r="L184" s="215"/>
      <c r="M184" s="214"/>
      <c r="N184" s="214"/>
      <c r="O184" s="205" t="s">
        <v>88</v>
      </c>
    </row>
    <row r="185" s="1" customFormat="1" ht="35.25" customHeight="1" spans="1:15">
      <c r="A185" s="207">
        <v>181</v>
      </c>
      <c r="B185" s="208"/>
      <c r="C185" s="209"/>
      <c r="D185" s="210"/>
      <c r="E185" s="210"/>
      <c r="F185" s="210"/>
      <c r="G185" s="209"/>
      <c r="H185" s="209"/>
      <c r="I185" s="214"/>
      <c r="J185" s="214"/>
      <c r="K185" s="214"/>
      <c r="L185" s="215"/>
      <c r="M185" s="214"/>
      <c r="N185" s="214"/>
      <c r="O185" s="205" t="s">
        <v>88</v>
      </c>
    </row>
    <row r="186" s="1" customFormat="1" ht="35.25" customHeight="1" spans="1:15">
      <c r="A186" s="207">
        <v>182</v>
      </c>
      <c r="B186" s="208"/>
      <c r="C186" s="209"/>
      <c r="D186" s="210"/>
      <c r="E186" s="210"/>
      <c r="F186" s="210"/>
      <c r="G186" s="209"/>
      <c r="H186" s="209"/>
      <c r="I186" s="214"/>
      <c r="J186" s="214"/>
      <c r="K186" s="214"/>
      <c r="L186" s="215"/>
      <c r="M186" s="214"/>
      <c r="N186" s="214"/>
      <c r="O186" s="205" t="s">
        <v>88</v>
      </c>
    </row>
    <row r="187" s="1" customFormat="1" ht="35.25" customHeight="1" spans="1:15">
      <c r="A187" s="207">
        <v>183</v>
      </c>
      <c r="B187" s="208"/>
      <c r="C187" s="209"/>
      <c r="D187" s="210"/>
      <c r="E187" s="210"/>
      <c r="F187" s="210"/>
      <c r="G187" s="209"/>
      <c r="H187" s="209"/>
      <c r="I187" s="214"/>
      <c r="J187" s="214"/>
      <c r="K187" s="214"/>
      <c r="L187" s="215"/>
      <c r="M187" s="214"/>
      <c r="N187" s="214"/>
      <c r="O187" s="205" t="s">
        <v>88</v>
      </c>
    </row>
    <row r="188" s="1" customFormat="1" ht="35.25" customHeight="1" spans="1:15">
      <c r="A188" s="207">
        <v>184</v>
      </c>
      <c r="B188" s="208"/>
      <c r="C188" s="209"/>
      <c r="D188" s="210"/>
      <c r="E188" s="210"/>
      <c r="F188" s="210"/>
      <c r="G188" s="209"/>
      <c r="H188" s="209"/>
      <c r="I188" s="214"/>
      <c r="J188" s="214"/>
      <c r="K188" s="214"/>
      <c r="L188" s="215"/>
      <c r="M188" s="214"/>
      <c r="N188" s="214"/>
      <c r="O188" s="205" t="s">
        <v>88</v>
      </c>
    </row>
    <row r="189" s="1" customFormat="1" ht="35.25" customHeight="1" spans="1:15">
      <c r="A189" s="207">
        <v>185</v>
      </c>
      <c r="B189" s="208"/>
      <c r="C189" s="209"/>
      <c r="D189" s="210"/>
      <c r="E189" s="210"/>
      <c r="F189" s="210"/>
      <c r="G189" s="209"/>
      <c r="H189" s="209"/>
      <c r="I189" s="214"/>
      <c r="J189" s="214"/>
      <c r="K189" s="214"/>
      <c r="L189" s="215"/>
      <c r="M189" s="214"/>
      <c r="N189" s="214"/>
      <c r="O189" s="205" t="s">
        <v>88</v>
      </c>
    </row>
    <row r="190" s="1" customFormat="1" ht="35.25" customHeight="1" spans="1:15">
      <c r="A190" s="207">
        <v>186</v>
      </c>
      <c r="B190" s="208"/>
      <c r="C190" s="209"/>
      <c r="D190" s="210"/>
      <c r="E190" s="210"/>
      <c r="F190" s="210"/>
      <c r="G190" s="209"/>
      <c r="H190" s="209"/>
      <c r="I190" s="214"/>
      <c r="J190" s="214"/>
      <c r="K190" s="214"/>
      <c r="L190" s="215"/>
      <c r="M190" s="214"/>
      <c r="N190" s="214"/>
      <c r="O190" s="205" t="s">
        <v>88</v>
      </c>
    </row>
    <row r="191" s="1" customFormat="1" ht="35.25" customHeight="1" spans="1:15">
      <c r="A191" s="207">
        <v>187</v>
      </c>
      <c r="B191" s="208"/>
      <c r="C191" s="209"/>
      <c r="D191" s="210"/>
      <c r="E191" s="210"/>
      <c r="F191" s="210"/>
      <c r="G191" s="209"/>
      <c r="H191" s="209"/>
      <c r="I191" s="214"/>
      <c r="J191" s="214"/>
      <c r="K191" s="214"/>
      <c r="L191" s="215"/>
      <c r="M191" s="214"/>
      <c r="N191" s="214"/>
      <c r="O191" s="205" t="s">
        <v>88</v>
      </c>
    </row>
    <row r="192" s="1" customFormat="1" ht="35.25" customHeight="1" spans="1:15">
      <c r="A192" s="207">
        <v>188</v>
      </c>
      <c r="B192" s="208"/>
      <c r="C192" s="209"/>
      <c r="D192" s="210"/>
      <c r="E192" s="210"/>
      <c r="F192" s="210"/>
      <c r="G192" s="209"/>
      <c r="H192" s="209"/>
      <c r="I192" s="214"/>
      <c r="J192" s="214"/>
      <c r="K192" s="214"/>
      <c r="L192" s="215"/>
      <c r="M192" s="214"/>
      <c r="N192" s="214"/>
      <c r="O192" s="205" t="s">
        <v>88</v>
      </c>
    </row>
    <row r="193" s="1" customFormat="1" ht="35.25" customHeight="1" spans="1:15">
      <c r="A193" s="207">
        <v>189</v>
      </c>
      <c r="B193" s="208"/>
      <c r="C193" s="209"/>
      <c r="D193" s="210"/>
      <c r="E193" s="210"/>
      <c r="F193" s="210"/>
      <c r="G193" s="209"/>
      <c r="H193" s="209"/>
      <c r="I193" s="214"/>
      <c r="J193" s="214"/>
      <c r="K193" s="214"/>
      <c r="L193" s="215"/>
      <c r="M193" s="214"/>
      <c r="N193" s="214"/>
      <c r="O193" s="205" t="s">
        <v>88</v>
      </c>
    </row>
    <row r="194" s="1" customFormat="1" ht="35.25" customHeight="1" spans="1:15">
      <c r="A194" s="207">
        <v>190</v>
      </c>
      <c r="B194" s="208"/>
      <c r="C194" s="209"/>
      <c r="D194" s="210"/>
      <c r="E194" s="210"/>
      <c r="F194" s="210"/>
      <c r="G194" s="209"/>
      <c r="H194" s="209"/>
      <c r="I194" s="214"/>
      <c r="J194" s="214"/>
      <c r="K194" s="214"/>
      <c r="L194" s="215"/>
      <c r="M194" s="214"/>
      <c r="N194" s="214"/>
      <c r="O194" s="205" t="s">
        <v>88</v>
      </c>
    </row>
    <row r="195" s="1" customFormat="1" ht="35.25" customHeight="1" spans="1:15">
      <c r="A195" s="207">
        <v>191</v>
      </c>
      <c r="B195" s="208"/>
      <c r="C195" s="209"/>
      <c r="D195" s="210"/>
      <c r="E195" s="210"/>
      <c r="F195" s="210"/>
      <c r="G195" s="209"/>
      <c r="H195" s="209"/>
      <c r="I195" s="214"/>
      <c r="J195" s="214"/>
      <c r="K195" s="214"/>
      <c r="L195" s="215"/>
      <c r="M195" s="214"/>
      <c r="N195" s="214"/>
      <c r="O195" s="205" t="s">
        <v>88</v>
      </c>
    </row>
    <row r="196" s="1" customFormat="1" ht="35.25" customHeight="1" spans="1:15">
      <c r="A196" s="207">
        <v>192</v>
      </c>
      <c r="B196" s="208"/>
      <c r="C196" s="209"/>
      <c r="D196" s="210"/>
      <c r="E196" s="210"/>
      <c r="F196" s="210"/>
      <c r="G196" s="209"/>
      <c r="H196" s="209"/>
      <c r="I196" s="214"/>
      <c r="J196" s="214"/>
      <c r="K196" s="214"/>
      <c r="L196" s="215"/>
      <c r="M196" s="214"/>
      <c r="N196" s="214"/>
      <c r="O196" s="205" t="s">
        <v>88</v>
      </c>
    </row>
    <row r="197" s="1" customFormat="1" ht="35.25" customHeight="1" spans="1:15">
      <c r="A197" s="207">
        <v>193</v>
      </c>
      <c r="B197" s="208"/>
      <c r="C197" s="209"/>
      <c r="D197" s="210"/>
      <c r="E197" s="210"/>
      <c r="F197" s="210"/>
      <c r="G197" s="209"/>
      <c r="H197" s="209"/>
      <c r="I197" s="214"/>
      <c r="J197" s="214"/>
      <c r="K197" s="214"/>
      <c r="L197" s="215"/>
      <c r="M197" s="214"/>
      <c r="N197" s="214"/>
      <c r="O197" s="205" t="s">
        <v>88</v>
      </c>
    </row>
    <row r="198" s="1" customFormat="1" ht="35.25" customHeight="1" spans="1:15">
      <c r="A198" s="207">
        <v>194</v>
      </c>
      <c r="B198" s="208"/>
      <c r="C198" s="209"/>
      <c r="D198" s="210"/>
      <c r="E198" s="210"/>
      <c r="F198" s="210"/>
      <c r="G198" s="209"/>
      <c r="H198" s="209"/>
      <c r="I198" s="214"/>
      <c r="J198" s="214"/>
      <c r="K198" s="214"/>
      <c r="L198" s="215"/>
      <c r="M198" s="214"/>
      <c r="N198" s="214"/>
      <c r="O198" s="205" t="s">
        <v>88</v>
      </c>
    </row>
    <row r="199" s="1" customFormat="1" ht="35.25" customHeight="1" spans="1:15">
      <c r="A199" s="207">
        <v>195</v>
      </c>
      <c r="B199" s="208"/>
      <c r="C199" s="209"/>
      <c r="D199" s="210"/>
      <c r="E199" s="210"/>
      <c r="F199" s="210"/>
      <c r="G199" s="209"/>
      <c r="H199" s="209"/>
      <c r="I199" s="214"/>
      <c r="J199" s="214"/>
      <c r="K199" s="214"/>
      <c r="L199" s="215"/>
      <c r="M199" s="214"/>
      <c r="N199" s="214"/>
      <c r="O199" s="205" t="s">
        <v>88</v>
      </c>
    </row>
    <row r="200" s="1" customFormat="1" ht="35.25" customHeight="1" spans="1:15">
      <c r="A200" s="207">
        <v>196</v>
      </c>
      <c r="B200" s="208"/>
      <c r="C200" s="209"/>
      <c r="D200" s="210"/>
      <c r="E200" s="210"/>
      <c r="F200" s="210"/>
      <c r="G200" s="209"/>
      <c r="H200" s="209"/>
      <c r="I200" s="214"/>
      <c r="J200" s="214"/>
      <c r="K200" s="214"/>
      <c r="L200" s="215"/>
      <c r="M200" s="214"/>
      <c r="N200" s="214"/>
      <c r="O200" s="205" t="s">
        <v>88</v>
      </c>
    </row>
    <row r="201" s="1" customFormat="1" ht="35.25" customHeight="1" spans="1:15">
      <c r="A201" s="207">
        <v>197</v>
      </c>
      <c r="B201" s="208"/>
      <c r="C201" s="209"/>
      <c r="D201" s="210"/>
      <c r="E201" s="210"/>
      <c r="F201" s="210"/>
      <c r="G201" s="209"/>
      <c r="H201" s="209"/>
      <c r="I201" s="214"/>
      <c r="J201" s="214"/>
      <c r="K201" s="214"/>
      <c r="L201" s="215"/>
      <c r="M201" s="214"/>
      <c r="N201" s="214"/>
      <c r="O201" s="205" t="s">
        <v>88</v>
      </c>
    </row>
    <row r="202" s="1" customFormat="1" ht="35.25" customHeight="1" spans="1:15">
      <c r="A202" s="207">
        <v>198</v>
      </c>
      <c r="B202" s="208"/>
      <c r="C202" s="209"/>
      <c r="D202" s="210"/>
      <c r="E202" s="210"/>
      <c r="F202" s="210"/>
      <c r="G202" s="209"/>
      <c r="H202" s="209"/>
      <c r="I202" s="214"/>
      <c r="J202" s="214"/>
      <c r="K202" s="214"/>
      <c r="L202" s="215"/>
      <c r="M202" s="214"/>
      <c r="N202" s="214"/>
      <c r="O202" s="205" t="s">
        <v>88</v>
      </c>
    </row>
    <row r="203" s="1" customFormat="1" ht="35.25" customHeight="1" spans="1:15">
      <c r="A203" s="207">
        <v>199</v>
      </c>
      <c r="B203" s="208"/>
      <c r="C203" s="209"/>
      <c r="D203" s="210"/>
      <c r="E203" s="210"/>
      <c r="F203" s="210"/>
      <c r="G203" s="209"/>
      <c r="H203" s="209"/>
      <c r="I203" s="214"/>
      <c r="J203" s="214"/>
      <c r="K203" s="214"/>
      <c r="L203" s="215"/>
      <c r="M203" s="214"/>
      <c r="N203" s="214"/>
      <c r="O203" s="205" t="s">
        <v>88</v>
      </c>
    </row>
    <row r="204" s="1" customFormat="1" ht="35.25" customHeight="1" spans="1:15">
      <c r="A204" s="207">
        <v>200</v>
      </c>
      <c r="B204" s="208"/>
      <c r="C204" s="209"/>
      <c r="D204" s="210"/>
      <c r="E204" s="210"/>
      <c r="F204" s="210"/>
      <c r="G204" s="209"/>
      <c r="H204" s="209"/>
      <c r="I204" s="214"/>
      <c r="J204" s="214"/>
      <c r="K204" s="214"/>
      <c r="L204" s="215"/>
      <c r="M204" s="214"/>
      <c r="N204" s="214"/>
      <c r="O204" s="205" t="s">
        <v>88</v>
      </c>
    </row>
    <row r="205" s="1" customFormat="1" ht="35.25" customHeight="1" spans="1:15">
      <c r="A205" s="207">
        <v>201</v>
      </c>
      <c r="B205" s="208"/>
      <c r="C205" s="209"/>
      <c r="D205" s="210"/>
      <c r="E205" s="210"/>
      <c r="F205" s="210"/>
      <c r="G205" s="209"/>
      <c r="H205" s="209"/>
      <c r="I205" s="214"/>
      <c r="J205" s="214"/>
      <c r="K205" s="214"/>
      <c r="L205" s="215"/>
      <c r="M205" s="214"/>
      <c r="N205" s="214"/>
      <c r="O205" s="205" t="s">
        <v>88</v>
      </c>
    </row>
    <row r="206" s="1" customFormat="1" ht="35.25" customHeight="1" spans="1:15">
      <c r="A206" s="207">
        <v>202</v>
      </c>
      <c r="B206" s="208"/>
      <c r="C206" s="209"/>
      <c r="D206" s="210"/>
      <c r="E206" s="210"/>
      <c r="F206" s="210"/>
      <c r="G206" s="209"/>
      <c r="H206" s="209"/>
      <c r="I206" s="214"/>
      <c r="J206" s="214"/>
      <c r="K206" s="214"/>
      <c r="L206" s="215"/>
      <c r="M206" s="214"/>
      <c r="N206" s="214"/>
      <c r="O206" s="205" t="s">
        <v>88</v>
      </c>
    </row>
    <row r="207" s="1" customFormat="1" ht="35.25" customHeight="1" spans="1:15">
      <c r="A207" s="207">
        <v>203</v>
      </c>
      <c r="B207" s="208"/>
      <c r="C207" s="209"/>
      <c r="D207" s="210"/>
      <c r="E207" s="210"/>
      <c r="F207" s="210"/>
      <c r="G207" s="209"/>
      <c r="H207" s="209"/>
      <c r="I207" s="214"/>
      <c r="J207" s="214"/>
      <c r="K207" s="214"/>
      <c r="L207" s="215"/>
      <c r="M207" s="214"/>
      <c r="N207" s="214"/>
      <c r="O207" s="205" t="s">
        <v>88</v>
      </c>
    </row>
    <row r="208" s="1" customFormat="1" ht="35.25" customHeight="1" spans="1:15">
      <c r="A208" s="207">
        <v>204</v>
      </c>
      <c r="B208" s="208"/>
      <c r="C208" s="209"/>
      <c r="D208" s="210"/>
      <c r="E208" s="210"/>
      <c r="F208" s="210"/>
      <c r="G208" s="209"/>
      <c r="H208" s="209"/>
      <c r="I208" s="214"/>
      <c r="J208" s="214"/>
      <c r="K208" s="214"/>
      <c r="L208" s="215"/>
      <c r="M208" s="214"/>
      <c r="N208" s="214"/>
      <c r="O208" s="205" t="s">
        <v>88</v>
      </c>
    </row>
    <row r="209" s="1" customFormat="1" ht="35.25" customHeight="1" spans="1:15">
      <c r="A209" s="207">
        <v>205</v>
      </c>
      <c r="B209" s="208"/>
      <c r="C209" s="209"/>
      <c r="D209" s="210"/>
      <c r="E209" s="210"/>
      <c r="F209" s="210"/>
      <c r="G209" s="209"/>
      <c r="H209" s="209"/>
      <c r="I209" s="214"/>
      <c r="J209" s="214"/>
      <c r="K209" s="214"/>
      <c r="L209" s="215"/>
      <c r="M209" s="214"/>
      <c r="N209" s="214"/>
      <c r="O209" s="205" t="s">
        <v>88</v>
      </c>
    </row>
    <row r="210" s="1" customFormat="1" ht="35.25" customHeight="1" spans="1:15">
      <c r="A210" s="207">
        <v>206</v>
      </c>
      <c r="B210" s="208"/>
      <c r="C210" s="209"/>
      <c r="D210" s="210"/>
      <c r="E210" s="210"/>
      <c r="F210" s="210"/>
      <c r="G210" s="209"/>
      <c r="H210" s="209"/>
      <c r="I210" s="214"/>
      <c r="J210" s="214"/>
      <c r="K210" s="214"/>
      <c r="L210" s="215"/>
      <c r="M210" s="214"/>
      <c r="N210" s="214"/>
      <c r="O210" s="205" t="s">
        <v>88</v>
      </c>
    </row>
    <row r="211" s="1" customFormat="1" ht="35.25" customHeight="1" spans="1:15">
      <c r="A211" s="207">
        <v>207</v>
      </c>
      <c r="B211" s="208"/>
      <c r="C211" s="209"/>
      <c r="D211" s="210"/>
      <c r="E211" s="210"/>
      <c r="F211" s="210"/>
      <c r="G211" s="209"/>
      <c r="H211" s="209"/>
      <c r="I211" s="214"/>
      <c r="J211" s="214"/>
      <c r="K211" s="214"/>
      <c r="L211" s="215"/>
      <c r="M211" s="214"/>
      <c r="N211" s="214"/>
      <c r="O211" s="205" t="s">
        <v>88</v>
      </c>
    </row>
    <row r="212" s="1" customFormat="1" ht="35.25" customHeight="1" spans="1:15">
      <c r="A212" s="207">
        <v>208</v>
      </c>
      <c r="B212" s="208"/>
      <c r="C212" s="209"/>
      <c r="D212" s="210"/>
      <c r="E212" s="210"/>
      <c r="F212" s="210"/>
      <c r="G212" s="209"/>
      <c r="H212" s="209"/>
      <c r="I212" s="214"/>
      <c r="J212" s="214"/>
      <c r="K212" s="214"/>
      <c r="L212" s="215"/>
      <c r="M212" s="214"/>
      <c r="N212" s="214"/>
      <c r="O212" s="205" t="s">
        <v>88</v>
      </c>
    </row>
    <row r="213" s="1" customFormat="1" ht="35.25" customHeight="1" spans="1:15">
      <c r="A213" s="207">
        <v>209</v>
      </c>
      <c r="B213" s="208"/>
      <c r="C213" s="209"/>
      <c r="D213" s="210"/>
      <c r="E213" s="210"/>
      <c r="F213" s="210"/>
      <c r="G213" s="209"/>
      <c r="H213" s="209"/>
      <c r="I213" s="214"/>
      <c r="J213" s="214"/>
      <c r="K213" s="214"/>
      <c r="L213" s="215"/>
      <c r="M213" s="214"/>
      <c r="N213" s="214"/>
      <c r="O213" s="205" t="s">
        <v>88</v>
      </c>
    </row>
    <row r="214" s="1" customFormat="1" ht="35.25" customHeight="1" spans="1:15">
      <c r="A214" s="207">
        <v>210</v>
      </c>
      <c r="B214" s="208"/>
      <c r="C214" s="209"/>
      <c r="D214" s="210"/>
      <c r="E214" s="210"/>
      <c r="F214" s="210"/>
      <c r="G214" s="209"/>
      <c r="H214" s="209"/>
      <c r="I214" s="214"/>
      <c r="J214" s="214"/>
      <c r="K214" s="214"/>
      <c r="L214" s="215"/>
      <c r="M214" s="214"/>
      <c r="N214" s="214"/>
      <c r="O214" s="205" t="s">
        <v>88</v>
      </c>
    </row>
    <row r="215" s="1" customFormat="1" ht="35.25" customHeight="1" spans="1:15">
      <c r="A215" s="207">
        <v>211</v>
      </c>
      <c r="B215" s="208"/>
      <c r="C215" s="209"/>
      <c r="D215" s="210"/>
      <c r="E215" s="210"/>
      <c r="F215" s="210"/>
      <c r="G215" s="209"/>
      <c r="H215" s="209"/>
      <c r="I215" s="214"/>
      <c r="J215" s="214"/>
      <c r="K215" s="214"/>
      <c r="L215" s="215"/>
      <c r="M215" s="214"/>
      <c r="N215" s="214"/>
      <c r="O215" s="205" t="s">
        <v>88</v>
      </c>
    </row>
    <row r="216" s="1" customFormat="1" ht="35.25" customHeight="1" spans="1:15">
      <c r="A216" s="207">
        <v>212</v>
      </c>
      <c r="B216" s="208"/>
      <c r="C216" s="209"/>
      <c r="D216" s="210"/>
      <c r="E216" s="210"/>
      <c r="F216" s="210"/>
      <c r="G216" s="209"/>
      <c r="H216" s="209"/>
      <c r="I216" s="214"/>
      <c r="J216" s="214"/>
      <c r="K216" s="214"/>
      <c r="L216" s="215"/>
      <c r="M216" s="214"/>
      <c r="N216" s="214"/>
      <c r="O216" s="205" t="s">
        <v>88</v>
      </c>
    </row>
    <row r="217" s="1" customFormat="1" ht="35.25" customHeight="1" spans="1:15">
      <c r="A217" s="207">
        <v>213</v>
      </c>
      <c r="B217" s="208"/>
      <c r="C217" s="209"/>
      <c r="D217" s="210"/>
      <c r="E217" s="210"/>
      <c r="F217" s="210"/>
      <c r="G217" s="209"/>
      <c r="H217" s="209"/>
      <c r="I217" s="214"/>
      <c r="J217" s="214"/>
      <c r="K217" s="214"/>
      <c r="L217" s="215"/>
      <c r="M217" s="214"/>
      <c r="N217" s="214"/>
      <c r="O217" s="205" t="s">
        <v>88</v>
      </c>
    </row>
    <row r="218" s="1" customFormat="1" ht="35.25" customHeight="1" spans="1:15">
      <c r="A218" s="207">
        <v>214</v>
      </c>
      <c r="B218" s="208"/>
      <c r="C218" s="209"/>
      <c r="D218" s="210"/>
      <c r="E218" s="210"/>
      <c r="F218" s="210"/>
      <c r="G218" s="209"/>
      <c r="H218" s="209"/>
      <c r="I218" s="214"/>
      <c r="J218" s="214"/>
      <c r="K218" s="214"/>
      <c r="L218" s="215"/>
      <c r="M218" s="214"/>
      <c r="N218" s="214"/>
      <c r="O218" s="205" t="s">
        <v>88</v>
      </c>
    </row>
    <row r="219" s="1" customFormat="1" ht="35.25" customHeight="1" spans="1:15">
      <c r="A219" s="207">
        <v>215</v>
      </c>
      <c r="B219" s="208"/>
      <c r="C219" s="209"/>
      <c r="D219" s="210"/>
      <c r="E219" s="210"/>
      <c r="F219" s="210"/>
      <c r="G219" s="209"/>
      <c r="H219" s="209"/>
      <c r="I219" s="214"/>
      <c r="J219" s="214"/>
      <c r="K219" s="214"/>
      <c r="L219" s="215"/>
      <c r="M219" s="214"/>
      <c r="N219" s="214"/>
      <c r="O219" s="205" t="s">
        <v>88</v>
      </c>
    </row>
    <row r="220" s="1" customFormat="1" ht="35.25" customHeight="1" spans="1:15">
      <c r="A220" s="207">
        <v>216</v>
      </c>
      <c r="B220" s="208"/>
      <c r="C220" s="209"/>
      <c r="D220" s="209"/>
      <c r="E220" s="210"/>
      <c r="F220" s="210"/>
      <c r="G220" s="209"/>
      <c r="H220" s="209"/>
      <c r="I220" s="214"/>
      <c r="J220" s="214"/>
      <c r="K220" s="214"/>
      <c r="L220" s="215"/>
      <c r="M220" s="214"/>
      <c r="N220" s="214"/>
      <c r="O220" s="205" t="s">
        <v>88</v>
      </c>
    </row>
    <row r="221" s="1" customFormat="1" ht="35.25" customHeight="1" spans="1:15">
      <c r="A221" s="207">
        <v>217</v>
      </c>
      <c r="B221" s="208"/>
      <c r="C221" s="209"/>
      <c r="D221" s="210"/>
      <c r="E221" s="210"/>
      <c r="F221" s="210"/>
      <c r="G221" s="209"/>
      <c r="H221" s="209"/>
      <c r="I221" s="214"/>
      <c r="J221" s="214"/>
      <c r="K221" s="214"/>
      <c r="L221" s="215"/>
      <c r="M221" s="214"/>
      <c r="N221" s="214"/>
      <c r="O221" s="205" t="s">
        <v>88</v>
      </c>
    </row>
    <row r="222" s="1" customFormat="1" ht="35.25" customHeight="1" spans="1:15">
      <c r="A222" s="207">
        <v>218</v>
      </c>
      <c r="B222" s="208"/>
      <c r="C222" s="209"/>
      <c r="D222" s="210"/>
      <c r="E222" s="210"/>
      <c r="F222" s="210"/>
      <c r="G222" s="209"/>
      <c r="H222" s="209"/>
      <c r="I222" s="214"/>
      <c r="J222" s="214"/>
      <c r="K222" s="214"/>
      <c r="L222" s="215"/>
      <c r="M222" s="214"/>
      <c r="N222" s="214"/>
      <c r="O222" s="205" t="s">
        <v>88</v>
      </c>
    </row>
    <row r="223" s="1" customFormat="1" ht="35.25" customHeight="1" spans="1:15">
      <c r="A223" s="207">
        <v>219</v>
      </c>
      <c r="B223" s="208"/>
      <c r="C223" s="209"/>
      <c r="D223" s="210"/>
      <c r="E223" s="210"/>
      <c r="F223" s="210"/>
      <c r="G223" s="209"/>
      <c r="H223" s="209"/>
      <c r="I223" s="214"/>
      <c r="J223" s="214"/>
      <c r="K223" s="214"/>
      <c r="L223" s="215"/>
      <c r="M223" s="214"/>
      <c r="N223" s="214"/>
      <c r="O223" s="205" t="s">
        <v>88</v>
      </c>
    </row>
    <row r="224" s="1" customFormat="1" ht="35.25" customHeight="1" spans="1:15">
      <c r="A224" s="207">
        <v>220</v>
      </c>
      <c r="B224" s="208"/>
      <c r="C224" s="209"/>
      <c r="D224" s="210"/>
      <c r="E224" s="210"/>
      <c r="F224" s="210"/>
      <c r="G224" s="209"/>
      <c r="H224" s="209"/>
      <c r="I224" s="214"/>
      <c r="J224" s="214"/>
      <c r="K224" s="214"/>
      <c r="L224" s="215"/>
      <c r="M224" s="214"/>
      <c r="N224" s="214"/>
      <c r="O224" s="205" t="s">
        <v>88</v>
      </c>
    </row>
    <row r="225" s="1" customFormat="1" ht="35.25" customHeight="1" spans="1:15">
      <c r="A225" s="207">
        <v>221</v>
      </c>
      <c r="B225" s="208"/>
      <c r="C225" s="209"/>
      <c r="D225" s="210"/>
      <c r="E225" s="210"/>
      <c r="F225" s="210"/>
      <c r="G225" s="209"/>
      <c r="H225" s="209"/>
      <c r="I225" s="214"/>
      <c r="J225" s="214"/>
      <c r="K225" s="214"/>
      <c r="L225" s="215"/>
      <c r="M225" s="214"/>
      <c r="N225" s="214"/>
      <c r="O225" s="205" t="s">
        <v>88</v>
      </c>
    </row>
    <row r="226" s="1" customFormat="1" ht="35.25" customHeight="1" spans="1:15">
      <c r="A226" s="207">
        <v>222</v>
      </c>
      <c r="B226" s="208"/>
      <c r="C226" s="209"/>
      <c r="D226" s="210"/>
      <c r="E226" s="210"/>
      <c r="F226" s="210"/>
      <c r="G226" s="209"/>
      <c r="H226" s="209"/>
      <c r="I226" s="214"/>
      <c r="J226" s="214"/>
      <c r="K226" s="214"/>
      <c r="L226" s="215"/>
      <c r="M226" s="214"/>
      <c r="N226" s="214"/>
      <c r="O226" s="205" t="s">
        <v>88</v>
      </c>
    </row>
    <row r="227" s="1" customFormat="1" ht="35.25" customHeight="1" spans="1:15">
      <c r="A227" s="207">
        <v>223</v>
      </c>
      <c r="B227" s="208"/>
      <c r="C227" s="209"/>
      <c r="D227" s="210"/>
      <c r="E227" s="210"/>
      <c r="F227" s="210"/>
      <c r="G227" s="209"/>
      <c r="H227" s="209"/>
      <c r="I227" s="214"/>
      <c r="J227" s="214"/>
      <c r="K227" s="214"/>
      <c r="L227" s="215"/>
      <c r="M227" s="214"/>
      <c r="N227" s="214"/>
      <c r="O227" s="205" t="s">
        <v>88</v>
      </c>
    </row>
    <row r="228" s="1" customFormat="1" ht="35.25" customHeight="1" spans="1:15">
      <c r="A228" s="207">
        <v>224</v>
      </c>
      <c r="B228" s="208"/>
      <c r="C228" s="209"/>
      <c r="D228" s="210"/>
      <c r="E228" s="210"/>
      <c r="F228" s="210"/>
      <c r="G228" s="209"/>
      <c r="H228" s="209"/>
      <c r="I228" s="214"/>
      <c r="J228" s="214"/>
      <c r="K228" s="214"/>
      <c r="L228" s="215"/>
      <c r="M228" s="214"/>
      <c r="N228" s="214"/>
      <c r="O228" s="205" t="s">
        <v>88</v>
      </c>
    </row>
    <row r="229" s="1" customFormat="1" ht="35.25" customHeight="1" spans="1:15">
      <c r="A229" s="207">
        <v>225</v>
      </c>
      <c r="B229" s="208"/>
      <c r="C229" s="209"/>
      <c r="D229" s="210"/>
      <c r="E229" s="210"/>
      <c r="F229" s="210"/>
      <c r="G229" s="209"/>
      <c r="H229" s="209"/>
      <c r="I229" s="214"/>
      <c r="J229" s="214"/>
      <c r="K229" s="214"/>
      <c r="L229" s="215"/>
      <c r="M229" s="214"/>
      <c r="N229" s="214"/>
      <c r="O229" s="205" t="s">
        <v>88</v>
      </c>
    </row>
    <row r="230" s="1" customFormat="1" ht="35.25" customHeight="1" spans="1:15">
      <c r="A230" s="207">
        <v>226</v>
      </c>
      <c r="B230" s="208"/>
      <c r="C230" s="209"/>
      <c r="D230" s="210"/>
      <c r="E230" s="210"/>
      <c r="F230" s="210"/>
      <c r="G230" s="209"/>
      <c r="H230" s="209"/>
      <c r="I230" s="214"/>
      <c r="J230" s="214"/>
      <c r="K230" s="214"/>
      <c r="L230" s="215"/>
      <c r="M230" s="214"/>
      <c r="N230" s="214"/>
      <c r="O230" s="205" t="s">
        <v>88</v>
      </c>
    </row>
    <row r="231" s="1" customFormat="1" ht="35.25" customHeight="1" spans="1:15">
      <c r="A231" s="207">
        <v>227</v>
      </c>
      <c r="B231" s="208"/>
      <c r="C231" s="209"/>
      <c r="D231" s="210"/>
      <c r="E231" s="210"/>
      <c r="F231" s="210"/>
      <c r="G231" s="209"/>
      <c r="H231" s="209"/>
      <c r="I231" s="214"/>
      <c r="J231" s="214"/>
      <c r="K231" s="214"/>
      <c r="L231" s="215"/>
      <c r="M231" s="214"/>
      <c r="N231" s="214"/>
      <c r="O231" s="205" t="s">
        <v>88</v>
      </c>
    </row>
    <row r="232" s="1" customFormat="1" ht="35.25" customHeight="1" spans="1:15">
      <c r="A232" s="207">
        <v>228</v>
      </c>
      <c r="B232" s="208"/>
      <c r="C232" s="209"/>
      <c r="D232" s="210"/>
      <c r="E232" s="210"/>
      <c r="F232" s="210"/>
      <c r="G232" s="209"/>
      <c r="H232" s="209"/>
      <c r="I232" s="214"/>
      <c r="J232" s="214"/>
      <c r="K232" s="214"/>
      <c r="L232" s="215"/>
      <c r="M232" s="214"/>
      <c r="N232" s="214"/>
      <c r="O232" s="205" t="s">
        <v>88</v>
      </c>
    </row>
    <row r="233" s="1" customFormat="1" ht="35.25" customHeight="1" spans="1:15">
      <c r="A233" s="207">
        <v>229</v>
      </c>
      <c r="B233" s="208"/>
      <c r="C233" s="209"/>
      <c r="D233" s="210"/>
      <c r="E233" s="210"/>
      <c r="F233" s="210"/>
      <c r="G233" s="209"/>
      <c r="H233" s="209"/>
      <c r="I233" s="214"/>
      <c r="J233" s="214"/>
      <c r="K233" s="214"/>
      <c r="L233" s="215"/>
      <c r="M233" s="214"/>
      <c r="N233" s="214"/>
      <c r="O233" s="205" t="s">
        <v>88</v>
      </c>
    </row>
    <row r="234" s="1" customFormat="1" ht="35.25" customHeight="1" spans="1:15">
      <c r="A234" s="207">
        <v>230</v>
      </c>
      <c r="B234" s="208"/>
      <c r="C234" s="209"/>
      <c r="D234" s="210"/>
      <c r="E234" s="210"/>
      <c r="F234" s="210"/>
      <c r="G234" s="209"/>
      <c r="H234" s="209"/>
      <c r="I234" s="214"/>
      <c r="J234" s="214"/>
      <c r="K234" s="214"/>
      <c r="L234" s="215"/>
      <c r="M234" s="214"/>
      <c r="N234" s="214"/>
      <c r="O234" s="205" t="s">
        <v>88</v>
      </c>
    </row>
    <row r="235" s="1" customFormat="1" ht="35.25" customHeight="1" spans="1:15">
      <c r="A235" s="207">
        <v>231</v>
      </c>
      <c r="B235" s="208"/>
      <c r="C235" s="209"/>
      <c r="D235" s="210"/>
      <c r="E235" s="210"/>
      <c r="F235" s="210"/>
      <c r="G235" s="209"/>
      <c r="H235" s="209"/>
      <c r="I235" s="214"/>
      <c r="J235" s="214"/>
      <c r="K235" s="214"/>
      <c r="L235" s="215"/>
      <c r="M235" s="214"/>
      <c r="N235" s="214"/>
      <c r="O235" s="205" t="s">
        <v>88</v>
      </c>
    </row>
    <row r="236" s="1" customFormat="1" ht="35.25" customHeight="1" spans="1:15">
      <c r="A236" s="207">
        <v>232</v>
      </c>
      <c r="B236" s="208"/>
      <c r="C236" s="209"/>
      <c r="D236" s="210"/>
      <c r="E236" s="210"/>
      <c r="F236" s="210"/>
      <c r="G236" s="209"/>
      <c r="H236" s="209"/>
      <c r="I236" s="214"/>
      <c r="J236" s="214"/>
      <c r="K236" s="214"/>
      <c r="L236" s="215"/>
      <c r="M236" s="214"/>
      <c r="N236" s="214"/>
      <c r="O236" s="205" t="s">
        <v>88</v>
      </c>
    </row>
    <row r="237" s="1" customFormat="1" ht="35.25" customHeight="1" spans="1:15">
      <c r="A237" s="207">
        <v>233</v>
      </c>
      <c r="B237" s="208"/>
      <c r="C237" s="209"/>
      <c r="D237" s="210"/>
      <c r="E237" s="210"/>
      <c r="F237" s="210"/>
      <c r="G237" s="209"/>
      <c r="H237" s="209"/>
      <c r="I237" s="214"/>
      <c r="J237" s="214"/>
      <c r="K237" s="214"/>
      <c r="L237" s="215"/>
      <c r="M237" s="214"/>
      <c r="N237" s="214"/>
      <c r="O237" s="205" t="s">
        <v>88</v>
      </c>
    </row>
    <row r="238" s="1" customFormat="1" ht="35.25" customHeight="1" spans="1:15">
      <c r="A238" s="207">
        <v>234</v>
      </c>
      <c r="B238" s="208"/>
      <c r="C238" s="209"/>
      <c r="D238" s="210"/>
      <c r="E238" s="210"/>
      <c r="F238" s="210"/>
      <c r="G238" s="209"/>
      <c r="H238" s="209"/>
      <c r="I238" s="214"/>
      <c r="J238" s="214"/>
      <c r="K238" s="214"/>
      <c r="L238" s="215"/>
      <c r="M238" s="214"/>
      <c r="N238" s="214"/>
      <c r="O238" s="205" t="s">
        <v>88</v>
      </c>
    </row>
    <row r="239" s="1" customFormat="1" ht="35.25" customHeight="1" spans="1:15">
      <c r="A239" s="207">
        <v>235</v>
      </c>
      <c r="B239" s="208"/>
      <c r="C239" s="209"/>
      <c r="D239" s="210"/>
      <c r="E239" s="210"/>
      <c r="F239" s="210"/>
      <c r="G239" s="209"/>
      <c r="H239" s="209"/>
      <c r="I239" s="214"/>
      <c r="J239" s="214"/>
      <c r="K239" s="214"/>
      <c r="L239" s="215"/>
      <c r="M239" s="214"/>
      <c r="N239" s="214"/>
      <c r="O239" s="205" t="s">
        <v>88</v>
      </c>
    </row>
    <row r="240" s="1" customFormat="1" ht="35.25" customHeight="1" spans="1:15">
      <c r="A240" s="207">
        <v>236</v>
      </c>
      <c r="B240" s="208"/>
      <c r="C240" s="209"/>
      <c r="D240" s="210"/>
      <c r="E240" s="210"/>
      <c r="F240" s="210"/>
      <c r="G240" s="209"/>
      <c r="H240" s="209"/>
      <c r="I240" s="214"/>
      <c r="J240" s="214"/>
      <c r="K240" s="214"/>
      <c r="L240" s="215"/>
      <c r="M240" s="214"/>
      <c r="N240" s="214"/>
      <c r="O240" s="205" t="s">
        <v>88</v>
      </c>
    </row>
    <row r="241" s="1" customFormat="1" ht="35.25" customHeight="1" spans="1:15">
      <c r="A241" s="207">
        <v>237</v>
      </c>
      <c r="B241" s="208"/>
      <c r="C241" s="209"/>
      <c r="D241" s="210"/>
      <c r="E241" s="210"/>
      <c r="F241" s="210"/>
      <c r="G241" s="209"/>
      <c r="H241" s="209"/>
      <c r="I241" s="214"/>
      <c r="J241" s="214"/>
      <c r="K241" s="214"/>
      <c r="L241" s="215"/>
      <c r="M241" s="214"/>
      <c r="N241" s="214"/>
      <c r="O241" s="205" t="s">
        <v>88</v>
      </c>
    </row>
    <row r="242" s="1" customFormat="1" ht="35.25" customHeight="1" spans="1:15">
      <c r="A242" s="207">
        <v>238</v>
      </c>
      <c r="B242" s="208"/>
      <c r="C242" s="209"/>
      <c r="D242" s="210"/>
      <c r="E242" s="210"/>
      <c r="F242" s="210"/>
      <c r="G242" s="209"/>
      <c r="H242" s="209"/>
      <c r="I242" s="214"/>
      <c r="J242" s="214"/>
      <c r="K242" s="214"/>
      <c r="L242" s="215"/>
      <c r="M242" s="214"/>
      <c r="N242" s="214"/>
      <c r="O242" s="205" t="s">
        <v>88</v>
      </c>
    </row>
    <row r="243" s="1" customFormat="1" ht="35.25" customHeight="1" spans="1:15">
      <c r="A243" s="207">
        <v>239</v>
      </c>
      <c r="B243" s="208"/>
      <c r="C243" s="209"/>
      <c r="D243" s="210"/>
      <c r="E243" s="210"/>
      <c r="F243" s="210"/>
      <c r="G243" s="209"/>
      <c r="H243" s="209"/>
      <c r="I243" s="214"/>
      <c r="J243" s="214"/>
      <c r="K243" s="214"/>
      <c r="L243" s="215"/>
      <c r="M243" s="214"/>
      <c r="N243" s="214"/>
      <c r="O243" s="205" t="s">
        <v>88</v>
      </c>
    </row>
    <row r="244" s="1" customFormat="1" ht="35.25" customHeight="1" spans="1:15">
      <c r="A244" s="207">
        <v>240</v>
      </c>
      <c r="B244" s="208"/>
      <c r="C244" s="209"/>
      <c r="D244" s="210"/>
      <c r="E244" s="210"/>
      <c r="F244" s="210"/>
      <c r="G244" s="209"/>
      <c r="H244" s="209"/>
      <c r="I244" s="214"/>
      <c r="J244" s="214"/>
      <c r="K244" s="214"/>
      <c r="L244" s="215"/>
      <c r="M244" s="214"/>
      <c r="N244" s="214"/>
      <c r="O244" s="205" t="s">
        <v>88</v>
      </c>
    </row>
    <row r="245" s="1" customFormat="1" ht="35.25" customHeight="1" spans="1:15">
      <c r="A245" s="207">
        <v>241</v>
      </c>
      <c r="B245" s="208"/>
      <c r="C245" s="209"/>
      <c r="D245" s="210"/>
      <c r="E245" s="210"/>
      <c r="F245" s="210"/>
      <c r="G245" s="209"/>
      <c r="H245" s="209"/>
      <c r="I245" s="214"/>
      <c r="J245" s="214"/>
      <c r="K245" s="214"/>
      <c r="L245" s="215"/>
      <c r="M245" s="214"/>
      <c r="N245" s="214"/>
      <c r="O245" s="205" t="s">
        <v>88</v>
      </c>
    </row>
    <row r="246" s="1" customFormat="1" ht="35.25" customHeight="1" spans="1:15">
      <c r="A246" s="207">
        <v>242</v>
      </c>
      <c r="B246" s="208"/>
      <c r="C246" s="209"/>
      <c r="D246" s="210"/>
      <c r="E246" s="210"/>
      <c r="F246" s="210"/>
      <c r="G246" s="209"/>
      <c r="H246" s="209"/>
      <c r="I246" s="214"/>
      <c r="J246" s="214"/>
      <c r="K246" s="214"/>
      <c r="L246" s="215"/>
      <c r="M246" s="214"/>
      <c r="N246" s="214"/>
      <c r="O246" s="205" t="s">
        <v>88</v>
      </c>
    </row>
    <row r="247" s="1" customFormat="1" ht="35.25" customHeight="1" spans="1:15">
      <c r="A247" s="207">
        <v>243</v>
      </c>
      <c r="B247" s="208"/>
      <c r="C247" s="209"/>
      <c r="D247" s="210"/>
      <c r="E247" s="210"/>
      <c r="F247" s="210"/>
      <c r="G247" s="209"/>
      <c r="H247" s="209"/>
      <c r="I247" s="214"/>
      <c r="J247" s="214"/>
      <c r="K247" s="214"/>
      <c r="L247" s="215"/>
      <c r="M247" s="214"/>
      <c r="N247" s="214"/>
      <c r="O247" s="205" t="s">
        <v>88</v>
      </c>
    </row>
    <row r="248" s="1" customFormat="1" ht="35.25" customHeight="1" spans="1:15">
      <c r="A248" s="207">
        <v>244</v>
      </c>
      <c r="B248" s="208"/>
      <c r="C248" s="209"/>
      <c r="D248" s="210"/>
      <c r="E248" s="210"/>
      <c r="F248" s="210"/>
      <c r="G248" s="209"/>
      <c r="H248" s="209"/>
      <c r="I248" s="214"/>
      <c r="J248" s="214"/>
      <c r="K248" s="214"/>
      <c r="L248" s="215"/>
      <c r="M248" s="214"/>
      <c r="N248" s="214"/>
      <c r="O248" s="205" t="s">
        <v>88</v>
      </c>
    </row>
    <row r="249" s="1" customFormat="1" ht="35.25" customHeight="1" spans="1:15">
      <c r="A249" s="207">
        <v>245</v>
      </c>
      <c r="B249" s="208"/>
      <c r="C249" s="209"/>
      <c r="D249" s="210"/>
      <c r="E249" s="210"/>
      <c r="F249" s="210"/>
      <c r="G249" s="209"/>
      <c r="H249" s="209"/>
      <c r="I249" s="214"/>
      <c r="J249" s="214"/>
      <c r="K249" s="214"/>
      <c r="L249" s="215"/>
      <c r="M249" s="214"/>
      <c r="N249" s="214"/>
      <c r="O249" s="205" t="s">
        <v>88</v>
      </c>
    </row>
    <row r="250" s="1" customFormat="1" ht="35.25" customHeight="1" spans="1:15">
      <c r="A250" s="207">
        <v>246</v>
      </c>
      <c r="B250" s="208"/>
      <c r="C250" s="209"/>
      <c r="D250" s="210"/>
      <c r="E250" s="210"/>
      <c r="F250" s="210"/>
      <c r="G250" s="209"/>
      <c r="H250" s="209"/>
      <c r="I250" s="214"/>
      <c r="J250" s="214"/>
      <c r="K250" s="214"/>
      <c r="L250" s="215"/>
      <c r="M250" s="214"/>
      <c r="N250" s="214"/>
      <c r="O250" s="205" t="s">
        <v>88</v>
      </c>
    </row>
    <row r="251" s="1" customFormat="1" ht="35.25" customHeight="1" spans="1:15">
      <c r="A251" s="207">
        <v>247</v>
      </c>
      <c r="B251" s="208"/>
      <c r="C251" s="209"/>
      <c r="D251" s="210"/>
      <c r="E251" s="210"/>
      <c r="F251" s="210"/>
      <c r="G251" s="209"/>
      <c r="H251" s="209"/>
      <c r="I251" s="214"/>
      <c r="J251" s="214"/>
      <c r="K251" s="214"/>
      <c r="L251" s="215"/>
      <c r="M251" s="214"/>
      <c r="N251" s="214"/>
      <c r="O251" s="205" t="s">
        <v>88</v>
      </c>
    </row>
    <row r="252" s="1" customFormat="1" ht="35.25" customHeight="1" spans="1:15">
      <c r="A252" s="207">
        <v>248</v>
      </c>
      <c r="B252" s="208"/>
      <c r="C252" s="209"/>
      <c r="D252" s="210"/>
      <c r="E252" s="210"/>
      <c r="F252" s="210"/>
      <c r="G252" s="209"/>
      <c r="H252" s="209"/>
      <c r="I252" s="214"/>
      <c r="J252" s="214"/>
      <c r="K252" s="214"/>
      <c r="L252" s="215"/>
      <c r="M252" s="214"/>
      <c r="N252" s="214"/>
      <c r="O252" s="205" t="s">
        <v>88</v>
      </c>
    </row>
    <row r="253" s="1" customFormat="1" ht="35.25" customHeight="1" spans="1:15">
      <c r="A253" s="207">
        <v>249</v>
      </c>
      <c r="B253" s="208"/>
      <c r="C253" s="209"/>
      <c r="D253" s="210"/>
      <c r="E253" s="210"/>
      <c r="F253" s="210"/>
      <c r="G253" s="209"/>
      <c r="H253" s="209"/>
      <c r="I253" s="214"/>
      <c r="J253" s="214"/>
      <c r="K253" s="214"/>
      <c r="L253" s="215"/>
      <c r="M253" s="214"/>
      <c r="N253" s="214"/>
      <c r="O253" s="205" t="s">
        <v>88</v>
      </c>
    </row>
    <row r="254" s="1" customFormat="1" ht="35.25" customHeight="1" spans="1:15">
      <c r="A254" s="207">
        <v>250</v>
      </c>
      <c r="B254" s="208"/>
      <c r="C254" s="209"/>
      <c r="D254" s="210"/>
      <c r="E254" s="210"/>
      <c r="F254" s="210"/>
      <c r="G254" s="209"/>
      <c r="H254" s="209"/>
      <c r="I254" s="214"/>
      <c r="J254" s="214"/>
      <c r="K254" s="214"/>
      <c r="L254" s="215"/>
      <c r="M254" s="214"/>
      <c r="N254" s="214"/>
      <c r="O254" s="205" t="s">
        <v>88</v>
      </c>
    </row>
    <row r="255" s="1" customFormat="1" ht="35.25" customHeight="1" spans="1:15">
      <c r="A255" s="207">
        <v>251</v>
      </c>
      <c r="B255" s="208"/>
      <c r="C255" s="209"/>
      <c r="D255" s="210"/>
      <c r="E255" s="210"/>
      <c r="F255" s="210"/>
      <c r="G255" s="209"/>
      <c r="H255" s="209"/>
      <c r="I255" s="214"/>
      <c r="J255" s="214"/>
      <c r="K255" s="214"/>
      <c r="L255" s="215"/>
      <c r="M255" s="214"/>
      <c r="N255" s="214"/>
      <c r="O255" s="205" t="s">
        <v>88</v>
      </c>
    </row>
    <row r="256" s="1" customFormat="1" ht="35.25" customHeight="1" spans="1:15">
      <c r="A256" s="207">
        <v>252</v>
      </c>
      <c r="B256" s="208"/>
      <c r="C256" s="209"/>
      <c r="D256" s="210"/>
      <c r="E256" s="210"/>
      <c r="F256" s="210"/>
      <c r="G256" s="209"/>
      <c r="H256" s="209"/>
      <c r="I256" s="214"/>
      <c r="J256" s="214"/>
      <c r="K256" s="214"/>
      <c r="L256" s="215"/>
      <c r="M256" s="214"/>
      <c r="N256" s="214"/>
      <c r="O256" s="205" t="s">
        <v>88</v>
      </c>
    </row>
    <row r="257" s="1" customFormat="1" ht="35.25" customHeight="1" spans="1:15">
      <c r="A257" s="207">
        <v>253</v>
      </c>
      <c r="B257" s="208"/>
      <c r="C257" s="209"/>
      <c r="D257" s="210"/>
      <c r="E257" s="210"/>
      <c r="F257" s="210"/>
      <c r="G257" s="209"/>
      <c r="H257" s="209"/>
      <c r="I257" s="214"/>
      <c r="J257" s="214"/>
      <c r="K257" s="214"/>
      <c r="L257" s="215"/>
      <c r="M257" s="214"/>
      <c r="N257" s="214"/>
      <c r="O257" s="205" t="s">
        <v>88</v>
      </c>
    </row>
    <row r="258" s="1" customFormat="1" ht="35.25" customHeight="1" spans="1:15">
      <c r="A258" s="207">
        <v>254</v>
      </c>
      <c r="B258" s="208"/>
      <c r="C258" s="209"/>
      <c r="D258" s="210"/>
      <c r="E258" s="210"/>
      <c r="F258" s="210"/>
      <c r="G258" s="209"/>
      <c r="H258" s="209"/>
      <c r="I258" s="214"/>
      <c r="J258" s="214"/>
      <c r="K258" s="214"/>
      <c r="L258" s="215"/>
      <c r="M258" s="214"/>
      <c r="N258" s="214"/>
      <c r="O258" s="205" t="s">
        <v>88</v>
      </c>
    </row>
    <row r="259" s="1" customFormat="1" ht="35.25" customHeight="1" spans="1:15">
      <c r="A259" s="207">
        <v>255</v>
      </c>
      <c r="B259" s="208"/>
      <c r="C259" s="209"/>
      <c r="D259" s="210"/>
      <c r="E259" s="210"/>
      <c r="F259" s="210"/>
      <c r="G259" s="209"/>
      <c r="H259" s="209"/>
      <c r="I259" s="214"/>
      <c r="J259" s="214"/>
      <c r="K259" s="214"/>
      <c r="L259" s="215"/>
      <c r="M259" s="214"/>
      <c r="N259" s="214"/>
      <c r="O259" s="205" t="s">
        <v>88</v>
      </c>
    </row>
    <row r="260" s="1" customFormat="1" ht="35.25" customHeight="1" spans="1:15">
      <c r="A260" s="207">
        <v>256</v>
      </c>
      <c r="B260" s="208"/>
      <c r="C260" s="209"/>
      <c r="D260" s="210"/>
      <c r="E260" s="210"/>
      <c r="F260" s="210"/>
      <c r="G260" s="209"/>
      <c r="H260" s="209"/>
      <c r="I260" s="214"/>
      <c r="J260" s="214"/>
      <c r="K260" s="214"/>
      <c r="L260" s="215"/>
      <c r="M260" s="214"/>
      <c r="N260" s="214"/>
      <c r="O260" s="205" t="s">
        <v>88</v>
      </c>
    </row>
    <row r="261" s="1" customFormat="1" ht="35.25" customHeight="1" spans="1:15">
      <c r="A261" s="207">
        <v>257</v>
      </c>
      <c r="B261" s="208"/>
      <c r="C261" s="209"/>
      <c r="D261" s="210"/>
      <c r="E261" s="210"/>
      <c r="F261" s="210"/>
      <c r="G261" s="209"/>
      <c r="H261" s="209"/>
      <c r="I261" s="214"/>
      <c r="J261" s="214"/>
      <c r="K261" s="214"/>
      <c r="L261" s="215"/>
      <c r="M261" s="214"/>
      <c r="N261" s="214"/>
      <c r="O261" s="205" t="s">
        <v>88</v>
      </c>
    </row>
    <row r="262" s="1" customFormat="1" ht="35.25" customHeight="1" spans="1:15">
      <c r="A262" s="207">
        <v>258</v>
      </c>
      <c r="B262" s="208"/>
      <c r="C262" s="209"/>
      <c r="D262" s="210"/>
      <c r="E262" s="210"/>
      <c r="F262" s="210"/>
      <c r="G262" s="209"/>
      <c r="H262" s="209"/>
      <c r="I262" s="214"/>
      <c r="J262" s="214"/>
      <c r="K262" s="214"/>
      <c r="L262" s="215"/>
      <c r="M262" s="214"/>
      <c r="N262" s="214"/>
      <c r="O262" s="205" t="s">
        <v>88</v>
      </c>
    </row>
    <row r="263" s="1" customFormat="1" ht="35.25" customHeight="1" spans="1:15">
      <c r="A263" s="207">
        <v>259</v>
      </c>
      <c r="B263" s="208"/>
      <c r="C263" s="209"/>
      <c r="D263" s="210"/>
      <c r="E263" s="210"/>
      <c r="F263" s="210"/>
      <c r="G263" s="209"/>
      <c r="H263" s="209"/>
      <c r="I263" s="214"/>
      <c r="J263" s="214"/>
      <c r="K263" s="214"/>
      <c r="L263" s="215"/>
      <c r="M263" s="214"/>
      <c r="N263" s="214"/>
      <c r="O263" s="205" t="s">
        <v>88</v>
      </c>
    </row>
    <row r="264" s="1" customFormat="1" ht="35.25" customHeight="1" spans="1:15">
      <c r="A264" s="207">
        <v>260</v>
      </c>
      <c r="B264" s="208"/>
      <c r="C264" s="209"/>
      <c r="D264" s="210"/>
      <c r="E264" s="210"/>
      <c r="F264" s="210"/>
      <c r="G264" s="209"/>
      <c r="H264" s="209"/>
      <c r="I264" s="214"/>
      <c r="J264" s="214"/>
      <c r="K264" s="214"/>
      <c r="L264" s="215"/>
      <c r="M264" s="214"/>
      <c r="N264" s="214"/>
      <c r="O264" s="205" t="s">
        <v>88</v>
      </c>
    </row>
    <row r="265" s="1" customFormat="1" ht="35.25" customHeight="1" spans="1:15">
      <c r="A265" s="207">
        <v>261</v>
      </c>
      <c r="B265" s="208"/>
      <c r="C265" s="209"/>
      <c r="D265" s="210"/>
      <c r="E265" s="210"/>
      <c r="F265" s="210"/>
      <c r="G265" s="209"/>
      <c r="H265" s="209"/>
      <c r="I265" s="214"/>
      <c r="J265" s="214"/>
      <c r="K265" s="214"/>
      <c r="L265" s="215"/>
      <c r="M265" s="214"/>
      <c r="N265" s="214"/>
      <c r="O265" s="205" t="s">
        <v>88</v>
      </c>
    </row>
    <row r="266" s="1" customFormat="1" ht="35.25" customHeight="1" spans="1:15">
      <c r="A266" s="207">
        <v>262</v>
      </c>
      <c r="B266" s="208"/>
      <c r="C266" s="209"/>
      <c r="D266" s="210"/>
      <c r="E266" s="210"/>
      <c r="F266" s="210"/>
      <c r="G266" s="209"/>
      <c r="H266" s="209"/>
      <c r="I266" s="214"/>
      <c r="J266" s="214"/>
      <c r="K266" s="214"/>
      <c r="L266" s="215"/>
      <c r="M266" s="214"/>
      <c r="N266" s="214"/>
      <c r="O266" s="205" t="s">
        <v>88</v>
      </c>
    </row>
    <row r="267" s="1" customFormat="1" ht="35.25" customHeight="1" spans="1:15">
      <c r="A267" s="207">
        <v>263</v>
      </c>
      <c r="B267" s="208"/>
      <c r="C267" s="209"/>
      <c r="D267" s="210"/>
      <c r="E267" s="210"/>
      <c r="F267" s="210"/>
      <c r="G267" s="209"/>
      <c r="H267" s="209"/>
      <c r="I267" s="214"/>
      <c r="J267" s="214"/>
      <c r="K267" s="214"/>
      <c r="L267" s="215"/>
      <c r="M267" s="214"/>
      <c r="N267" s="214"/>
      <c r="O267" s="205" t="s">
        <v>88</v>
      </c>
    </row>
    <row r="268" s="1" customFormat="1" ht="35.25" customHeight="1" spans="1:15">
      <c r="A268" s="207">
        <v>264</v>
      </c>
      <c r="B268" s="208"/>
      <c r="C268" s="209"/>
      <c r="D268" s="210"/>
      <c r="E268" s="210"/>
      <c r="F268" s="210"/>
      <c r="G268" s="209"/>
      <c r="H268" s="209"/>
      <c r="I268" s="214"/>
      <c r="J268" s="214"/>
      <c r="K268" s="214"/>
      <c r="L268" s="215"/>
      <c r="M268" s="214"/>
      <c r="N268" s="214"/>
      <c r="O268" s="205" t="s">
        <v>88</v>
      </c>
    </row>
    <row r="269" s="1" customFormat="1" ht="35.25" customHeight="1" spans="1:15">
      <c r="A269" s="207">
        <v>265</v>
      </c>
      <c r="B269" s="208"/>
      <c r="C269" s="209"/>
      <c r="D269" s="210"/>
      <c r="E269" s="210"/>
      <c r="F269" s="210"/>
      <c r="G269" s="209"/>
      <c r="H269" s="209"/>
      <c r="I269" s="214"/>
      <c r="J269" s="214"/>
      <c r="K269" s="214"/>
      <c r="L269" s="215"/>
      <c r="M269" s="214"/>
      <c r="N269" s="214"/>
      <c r="O269" s="205" t="s">
        <v>88</v>
      </c>
    </row>
    <row r="270" s="1" customFormat="1" ht="35.25" customHeight="1" spans="1:15">
      <c r="A270" s="207">
        <v>266</v>
      </c>
      <c r="B270" s="208"/>
      <c r="C270" s="209"/>
      <c r="D270" s="210"/>
      <c r="E270" s="210"/>
      <c r="F270" s="210"/>
      <c r="G270" s="209"/>
      <c r="H270" s="209"/>
      <c r="I270" s="214"/>
      <c r="J270" s="214"/>
      <c r="K270" s="214"/>
      <c r="L270" s="215"/>
      <c r="M270" s="214"/>
      <c r="N270" s="214"/>
      <c r="O270" s="205" t="s">
        <v>88</v>
      </c>
    </row>
    <row r="271" s="1" customFormat="1" ht="35.25" customHeight="1" spans="1:15">
      <c r="A271" s="207">
        <v>267</v>
      </c>
      <c r="B271" s="208"/>
      <c r="C271" s="209"/>
      <c r="D271" s="210"/>
      <c r="E271" s="210"/>
      <c r="F271" s="210"/>
      <c r="G271" s="209"/>
      <c r="H271" s="209"/>
      <c r="I271" s="214"/>
      <c r="J271" s="214"/>
      <c r="K271" s="214"/>
      <c r="L271" s="215"/>
      <c r="M271" s="214"/>
      <c r="N271" s="214"/>
      <c r="O271" s="205" t="s">
        <v>88</v>
      </c>
    </row>
    <row r="272" s="1" customFormat="1" ht="35.25" customHeight="1" spans="1:15">
      <c r="A272" s="207">
        <v>268</v>
      </c>
      <c r="B272" s="208"/>
      <c r="C272" s="209"/>
      <c r="D272" s="210"/>
      <c r="E272" s="210"/>
      <c r="F272" s="210"/>
      <c r="G272" s="209"/>
      <c r="H272" s="209"/>
      <c r="I272" s="214"/>
      <c r="J272" s="214"/>
      <c r="K272" s="214"/>
      <c r="L272" s="215"/>
      <c r="M272" s="214"/>
      <c r="N272" s="214"/>
      <c r="O272" s="205" t="s">
        <v>88</v>
      </c>
    </row>
    <row r="273" s="1" customFormat="1" ht="35.25" customHeight="1" spans="1:15">
      <c r="A273" s="207">
        <v>269</v>
      </c>
      <c r="B273" s="208"/>
      <c r="C273" s="209"/>
      <c r="D273" s="210"/>
      <c r="E273" s="210"/>
      <c r="F273" s="210"/>
      <c r="G273" s="209"/>
      <c r="H273" s="209"/>
      <c r="I273" s="214"/>
      <c r="J273" s="214"/>
      <c r="K273" s="214"/>
      <c r="L273" s="215"/>
      <c r="M273" s="214"/>
      <c r="N273" s="214"/>
      <c r="O273" s="205" t="s">
        <v>88</v>
      </c>
    </row>
    <row r="274" s="1" customFormat="1" ht="35.25" customHeight="1" spans="1:15">
      <c r="A274" s="207">
        <v>270</v>
      </c>
      <c r="B274" s="208"/>
      <c r="C274" s="209"/>
      <c r="D274" s="210"/>
      <c r="E274" s="210"/>
      <c r="F274" s="210"/>
      <c r="G274" s="209"/>
      <c r="H274" s="209"/>
      <c r="I274" s="214"/>
      <c r="J274" s="214"/>
      <c r="K274" s="214"/>
      <c r="L274" s="215"/>
      <c r="M274" s="214"/>
      <c r="N274" s="214"/>
      <c r="O274" s="205" t="s">
        <v>88</v>
      </c>
    </row>
    <row r="275" s="1" customFormat="1" ht="35.25" customHeight="1" spans="1:15">
      <c r="A275" s="207">
        <v>271</v>
      </c>
      <c r="B275" s="208"/>
      <c r="C275" s="209"/>
      <c r="D275" s="210"/>
      <c r="E275" s="210"/>
      <c r="F275" s="210"/>
      <c r="G275" s="209"/>
      <c r="H275" s="209"/>
      <c r="I275" s="214"/>
      <c r="J275" s="214"/>
      <c r="K275" s="214"/>
      <c r="L275" s="215"/>
      <c r="M275" s="214"/>
      <c r="N275" s="214"/>
      <c r="O275" s="205" t="s">
        <v>88</v>
      </c>
    </row>
    <row r="276" s="1" customFormat="1" ht="35.25" customHeight="1" spans="1:15">
      <c r="A276" s="207">
        <v>272</v>
      </c>
      <c r="B276" s="208"/>
      <c r="C276" s="209"/>
      <c r="D276" s="210"/>
      <c r="E276" s="210"/>
      <c r="F276" s="210"/>
      <c r="G276" s="209"/>
      <c r="H276" s="209"/>
      <c r="I276" s="214"/>
      <c r="J276" s="214"/>
      <c r="K276" s="214"/>
      <c r="L276" s="215"/>
      <c r="M276" s="214"/>
      <c r="N276" s="214"/>
      <c r="O276" s="205" t="s">
        <v>88</v>
      </c>
    </row>
    <row r="277" s="1" customFormat="1" ht="35.25" customHeight="1" spans="1:15">
      <c r="A277" s="207">
        <v>273</v>
      </c>
      <c r="B277" s="208"/>
      <c r="C277" s="209"/>
      <c r="D277" s="210"/>
      <c r="E277" s="210"/>
      <c r="F277" s="210"/>
      <c r="G277" s="209"/>
      <c r="H277" s="209"/>
      <c r="I277" s="214"/>
      <c r="J277" s="214"/>
      <c r="K277" s="214"/>
      <c r="L277" s="215"/>
      <c r="M277" s="214"/>
      <c r="N277" s="214"/>
      <c r="O277" s="205" t="s">
        <v>88</v>
      </c>
    </row>
    <row r="278" s="1" customFormat="1" ht="35.25" customHeight="1" spans="1:15">
      <c r="A278" s="207">
        <v>274</v>
      </c>
      <c r="B278" s="208"/>
      <c r="C278" s="209"/>
      <c r="D278" s="210"/>
      <c r="E278" s="210"/>
      <c r="F278" s="210"/>
      <c r="G278" s="209"/>
      <c r="H278" s="209"/>
      <c r="I278" s="214"/>
      <c r="J278" s="214"/>
      <c r="K278" s="214"/>
      <c r="L278" s="215"/>
      <c r="M278" s="214"/>
      <c r="N278" s="214"/>
      <c r="O278" s="205" t="s">
        <v>88</v>
      </c>
    </row>
    <row r="279" s="1" customFormat="1" ht="35.25" customHeight="1" spans="1:15">
      <c r="A279" s="207">
        <v>275</v>
      </c>
      <c r="B279" s="208"/>
      <c r="C279" s="209"/>
      <c r="D279" s="210"/>
      <c r="E279" s="210"/>
      <c r="F279" s="210"/>
      <c r="G279" s="209"/>
      <c r="H279" s="209"/>
      <c r="I279" s="214"/>
      <c r="J279" s="214"/>
      <c r="K279" s="214"/>
      <c r="L279" s="215"/>
      <c r="M279" s="214"/>
      <c r="N279" s="214"/>
      <c r="O279" s="205" t="s">
        <v>88</v>
      </c>
    </row>
    <row r="280" s="1" customFormat="1" ht="35.25" customHeight="1" spans="1:15">
      <c r="A280" s="207">
        <v>276</v>
      </c>
      <c r="B280" s="208"/>
      <c r="C280" s="209"/>
      <c r="D280" s="210"/>
      <c r="E280" s="210"/>
      <c r="F280" s="210"/>
      <c r="G280" s="209"/>
      <c r="H280" s="209"/>
      <c r="I280" s="214"/>
      <c r="J280" s="214"/>
      <c r="K280" s="214"/>
      <c r="L280" s="215"/>
      <c r="M280" s="214"/>
      <c r="N280" s="214"/>
      <c r="O280" s="205" t="s">
        <v>88</v>
      </c>
    </row>
    <row r="281" s="1" customFormat="1" ht="35.25" customHeight="1" spans="1:15">
      <c r="A281" s="207">
        <v>277</v>
      </c>
      <c r="B281" s="208"/>
      <c r="C281" s="209"/>
      <c r="D281" s="210"/>
      <c r="E281" s="210"/>
      <c r="F281" s="210"/>
      <c r="G281" s="209"/>
      <c r="H281" s="209"/>
      <c r="I281" s="214"/>
      <c r="J281" s="214"/>
      <c r="K281" s="214"/>
      <c r="L281" s="215"/>
      <c r="M281" s="214"/>
      <c r="N281" s="214"/>
      <c r="O281" s="205" t="s">
        <v>88</v>
      </c>
    </row>
    <row r="282" s="1" customFormat="1" ht="35.25" customHeight="1" spans="1:15">
      <c r="A282" s="207">
        <v>278</v>
      </c>
      <c r="B282" s="208"/>
      <c r="C282" s="209"/>
      <c r="D282" s="210"/>
      <c r="E282" s="210"/>
      <c r="F282" s="210"/>
      <c r="G282" s="209"/>
      <c r="H282" s="209"/>
      <c r="I282" s="214"/>
      <c r="J282" s="214"/>
      <c r="K282" s="214"/>
      <c r="L282" s="215"/>
      <c r="M282" s="214"/>
      <c r="N282" s="214"/>
      <c r="O282" s="205" t="s">
        <v>88</v>
      </c>
    </row>
    <row r="283" s="1" customFormat="1" ht="35.25" customHeight="1" spans="1:15">
      <c r="A283" s="207">
        <v>279</v>
      </c>
      <c r="B283" s="208"/>
      <c r="C283" s="209"/>
      <c r="D283" s="210"/>
      <c r="E283" s="210"/>
      <c r="F283" s="210"/>
      <c r="G283" s="209"/>
      <c r="H283" s="209"/>
      <c r="I283" s="214"/>
      <c r="J283" s="214"/>
      <c r="K283" s="214"/>
      <c r="L283" s="215"/>
      <c r="M283" s="214"/>
      <c r="N283" s="214"/>
      <c r="O283" s="205" t="s">
        <v>88</v>
      </c>
    </row>
    <row r="284" s="1" customFormat="1" ht="35.25" customHeight="1" spans="1:15">
      <c r="A284" s="207">
        <v>280</v>
      </c>
      <c r="B284" s="208"/>
      <c r="C284" s="209"/>
      <c r="D284" s="210"/>
      <c r="E284" s="210"/>
      <c r="F284" s="210"/>
      <c r="G284" s="209"/>
      <c r="H284" s="209"/>
      <c r="I284" s="214"/>
      <c r="J284" s="214"/>
      <c r="K284" s="214"/>
      <c r="L284" s="215"/>
      <c r="M284" s="214"/>
      <c r="N284" s="214"/>
      <c r="O284" s="205" t="s">
        <v>88</v>
      </c>
    </row>
    <row r="285" s="1" customFormat="1" ht="35.25" customHeight="1" spans="1:15">
      <c r="A285" s="207">
        <v>281</v>
      </c>
      <c r="B285" s="208"/>
      <c r="C285" s="209"/>
      <c r="D285" s="210"/>
      <c r="E285" s="210"/>
      <c r="F285" s="210"/>
      <c r="G285" s="209"/>
      <c r="H285" s="209"/>
      <c r="I285" s="214"/>
      <c r="J285" s="214"/>
      <c r="K285" s="214"/>
      <c r="L285" s="215"/>
      <c r="M285" s="214"/>
      <c r="N285" s="214"/>
      <c r="O285" s="205" t="s">
        <v>88</v>
      </c>
    </row>
    <row r="286" s="1" customFormat="1" ht="35.25" customHeight="1" spans="1:15">
      <c r="A286" s="207">
        <v>282</v>
      </c>
      <c r="B286" s="208"/>
      <c r="C286" s="209"/>
      <c r="D286" s="210"/>
      <c r="E286" s="210"/>
      <c r="F286" s="210"/>
      <c r="G286" s="209"/>
      <c r="H286" s="209"/>
      <c r="I286" s="214"/>
      <c r="J286" s="214"/>
      <c r="K286" s="214"/>
      <c r="L286" s="215"/>
      <c r="M286" s="214"/>
      <c r="N286" s="214"/>
      <c r="O286" s="205" t="s">
        <v>88</v>
      </c>
    </row>
    <row r="287" s="1" customFormat="1" ht="35.25" customHeight="1" spans="1:15">
      <c r="A287" s="207">
        <v>283</v>
      </c>
      <c r="B287" s="208"/>
      <c r="C287" s="209"/>
      <c r="D287" s="210"/>
      <c r="E287" s="210"/>
      <c r="F287" s="210"/>
      <c r="G287" s="209"/>
      <c r="H287" s="209"/>
      <c r="I287" s="214"/>
      <c r="J287" s="214"/>
      <c r="K287" s="214"/>
      <c r="L287" s="215"/>
      <c r="M287" s="214"/>
      <c r="N287" s="214"/>
      <c r="O287" s="205" t="s">
        <v>88</v>
      </c>
    </row>
    <row r="288" s="1" customFormat="1" ht="35.25" customHeight="1" spans="1:15">
      <c r="A288" s="207">
        <v>284</v>
      </c>
      <c r="B288" s="208"/>
      <c r="C288" s="209"/>
      <c r="D288" s="210"/>
      <c r="E288" s="210"/>
      <c r="F288" s="210"/>
      <c r="G288" s="209"/>
      <c r="H288" s="209"/>
      <c r="I288" s="214"/>
      <c r="J288" s="214"/>
      <c r="K288" s="214"/>
      <c r="L288" s="215"/>
      <c r="M288" s="214"/>
      <c r="N288" s="214"/>
      <c r="O288" s="205" t="s">
        <v>88</v>
      </c>
    </row>
    <row r="289" s="1" customFormat="1" ht="35.25" customHeight="1" spans="1:15">
      <c r="A289" s="207">
        <v>285</v>
      </c>
      <c r="B289" s="208"/>
      <c r="C289" s="209"/>
      <c r="D289" s="210"/>
      <c r="E289" s="210"/>
      <c r="F289" s="210"/>
      <c r="G289" s="209"/>
      <c r="H289" s="209"/>
      <c r="I289" s="214"/>
      <c r="J289" s="214"/>
      <c r="K289" s="214"/>
      <c r="L289" s="215"/>
      <c r="M289" s="214"/>
      <c r="N289" s="214"/>
      <c r="O289" s="205" t="s">
        <v>88</v>
      </c>
    </row>
    <row r="290" s="1" customFormat="1" ht="35.25" customHeight="1" spans="1:15">
      <c r="A290" s="207">
        <v>286</v>
      </c>
      <c r="B290" s="208"/>
      <c r="C290" s="209"/>
      <c r="D290" s="210"/>
      <c r="E290" s="210"/>
      <c r="F290" s="210"/>
      <c r="G290" s="209"/>
      <c r="H290" s="209"/>
      <c r="I290" s="214"/>
      <c r="J290" s="214"/>
      <c r="K290" s="214"/>
      <c r="L290" s="215"/>
      <c r="M290" s="214"/>
      <c r="N290" s="214"/>
      <c r="O290" s="205" t="s">
        <v>88</v>
      </c>
    </row>
    <row r="291" s="1" customFormat="1" ht="35.25" customHeight="1" spans="1:15">
      <c r="A291" s="207">
        <v>287</v>
      </c>
      <c r="B291" s="208"/>
      <c r="C291" s="209"/>
      <c r="D291" s="210"/>
      <c r="E291" s="210"/>
      <c r="F291" s="210"/>
      <c r="G291" s="209"/>
      <c r="H291" s="209"/>
      <c r="I291" s="214"/>
      <c r="J291" s="214"/>
      <c r="K291" s="214"/>
      <c r="L291" s="215"/>
      <c r="M291" s="214"/>
      <c r="N291" s="214"/>
      <c r="O291" s="205" t="s">
        <v>88</v>
      </c>
    </row>
    <row r="292" s="1" customFormat="1" ht="35.25" customHeight="1" spans="1:15">
      <c r="A292" s="207">
        <v>288</v>
      </c>
      <c r="B292" s="208"/>
      <c r="C292" s="209"/>
      <c r="D292" s="210"/>
      <c r="E292" s="210"/>
      <c r="F292" s="210"/>
      <c r="G292" s="209"/>
      <c r="H292" s="209"/>
      <c r="I292" s="214"/>
      <c r="J292" s="214"/>
      <c r="K292" s="214"/>
      <c r="L292" s="215"/>
      <c r="M292" s="214"/>
      <c r="N292" s="214"/>
      <c r="O292" s="205" t="s">
        <v>88</v>
      </c>
    </row>
    <row r="293" s="1" customFormat="1" ht="35.25" customHeight="1" spans="1:15">
      <c r="A293" s="207">
        <v>289</v>
      </c>
      <c r="B293" s="208"/>
      <c r="C293" s="209"/>
      <c r="D293" s="210"/>
      <c r="E293" s="210"/>
      <c r="F293" s="210"/>
      <c r="G293" s="209"/>
      <c r="H293" s="209"/>
      <c r="I293" s="214"/>
      <c r="J293" s="214"/>
      <c r="K293" s="214"/>
      <c r="L293" s="215"/>
      <c r="M293" s="214"/>
      <c r="N293" s="214"/>
      <c r="O293" s="205" t="s">
        <v>88</v>
      </c>
    </row>
    <row r="294" s="1" customFormat="1" ht="35.25" customHeight="1" spans="1:15">
      <c r="A294" s="207">
        <v>290</v>
      </c>
      <c r="B294" s="208"/>
      <c r="C294" s="209"/>
      <c r="D294" s="210"/>
      <c r="E294" s="210"/>
      <c r="F294" s="210"/>
      <c r="G294" s="209"/>
      <c r="H294" s="209"/>
      <c r="I294" s="214"/>
      <c r="J294" s="214"/>
      <c r="K294" s="214"/>
      <c r="L294" s="215"/>
      <c r="M294" s="214"/>
      <c r="N294" s="214"/>
      <c r="O294" s="205" t="s">
        <v>88</v>
      </c>
    </row>
    <row r="295" s="1" customFormat="1" ht="35.25" customHeight="1" spans="1:15">
      <c r="A295" s="207">
        <v>291</v>
      </c>
      <c r="B295" s="208"/>
      <c r="C295" s="209"/>
      <c r="D295" s="210"/>
      <c r="E295" s="210"/>
      <c r="F295" s="210"/>
      <c r="G295" s="209"/>
      <c r="H295" s="209"/>
      <c r="I295" s="214"/>
      <c r="J295" s="214"/>
      <c r="K295" s="214"/>
      <c r="L295" s="215"/>
      <c r="M295" s="214"/>
      <c r="N295" s="214"/>
      <c r="O295" s="205" t="s">
        <v>88</v>
      </c>
    </row>
    <row r="296" s="1" customFormat="1" ht="35.25" customHeight="1" spans="1:15">
      <c r="A296" s="207">
        <v>292</v>
      </c>
      <c r="B296" s="208"/>
      <c r="C296" s="209"/>
      <c r="D296" s="210"/>
      <c r="E296" s="210"/>
      <c r="F296" s="210"/>
      <c r="G296" s="209"/>
      <c r="H296" s="209"/>
      <c r="I296" s="214"/>
      <c r="J296" s="214"/>
      <c r="K296" s="214"/>
      <c r="L296" s="215"/>
      <c r="M296" s="214"/>
      <c r="N296" s="214"/>
      <c r="O296" s="205" t="s">
        <v>88</v>
      </c>
    </row>
    <row r="297" s="1" customFormat="1" ht="35.25" customHeight="1" spans="1:15">
      <c r="A297" s="207">
        <v>293</v>
      </c>
      <c r="B297" s="208"/>
      <c r="C297" s="209"/>
      <c r="D297" s="210"/>
      <c r="E297" s="210"/>
      <c r="F297" s="210"/>
      <c r="G297" s="209"/>
      <c r="H297" s="209"/>
      <c r="I297" s="214"/>
      <c r="J297" s="214"/>
      <c r="K297" s="214"/>
      <c r="L297" s="215"/>
      <c r="M297" s="214"/>
      <c r="N297" s="214"/>
      <c r="O297" s="205" t="s">
        <v>88</v>
      </c>
    </row>
    <row r="298" s="1" customFormat="1" ht="35.25" customHeight="1" spans="1:15">
      <c r="A298" s="207">
        <v>294</v>
      </c>
      <c r="B298" s="208"/>
      <c r="C298" s="209"/>
      <c r="D298" s="210"/>
      <c r="E298" s="210"/>
      <c r="F298" s="210"/>
      <c r="G298" s="209"/>
      <c r="H298" s="209"/>
      <c r="I298" s="214"/>
      <c r="J298" s="214"/>
      <c r="K298" s="214"/>
      <c r="L298" s="215"/>
      <c r="M298" s="214"/>
      <c r="N298" s="214"/>
      <c r="O298" s="205" t="s">
        <v>88</v>
      </c>
    </row>
    <row r="299" s="1" customFormat="1" ht="35.25" customHeight="1" spans="1:15">
      <c r="A299" s="207">
        <v>295</v>
      </c>
      <c r="B299" s="208"/>
      <c r="C299" s="209"/>
      <c r="D299" s="210"/>
      <c r="E299" s="210"/>
      <c r="F299" s="210"/>
      <c r="G299" s="209"/>
      <c r="H299" s="209"/>
      <c r="I299" s="214"/>
      <c r="J299" s="214"/>
      <c r="K299" s="214"/>
      <c r="L299" s="215"/>
      <c r="M299" s="214"/>
      <c r="N299" s="214"/>
      <c r="O299" s="205" t="s">
        <v>88</v>
      </c>
    </row>
    <row r="300" s="1" customFormat="1" ht="35.25" customHeight="1" spans="1:15">
      <c r="A300" s="207">
        <v>296</v>
      </c>
      <c r="B300" s="208"/>
      <c r="C300" s="209"/>
      <c r="D300" s="210"/>
      <c r="E300" s="210"/>
      <c r="F300" s="210"/>
      <c r="G300" s="209"/>
      <c r="H300" s="209"/>
      <c r="I300" s="214"/>
      <c r="J300" s="214"/>
      <c r="K300" s="214"/>
      <c r="L300" s="215"/>
      <c r="M300" s="214"/>
      <c r="N300" s="214"/>
      <c r="O300" s="205" t="s">
        <v>88</v>
      </c>
    </row>
    <row r="301" s="1" customFormat="1" ht="35.25" customHeight="1" spans="1:15">
      <c r="A301" s="207">
        <v>297</v>
      </c>
      <c r="B301" s="208"/>
      <c r="C301" s="209"/>
      <c r="D301" s="210"/>
      <c r="E301" s="210"/>
      <c r="F301" s="210"/>
      <c r="G301" s="209"/>
      <c r="H301" s="209"/>
      <c r="I301" s="214"/>
      <c r="J301" s="214"/>
      <c r="K301" s="214"/>
      <c r="L301" s="215"/>
      <c r="M301" s="214"/>
      <c r="N301" s="214"/>
      <c r="O301" s="205" t="s">
        <v>88</v>
      </c>
    </row>
    <row r="302" s="1" customFormat="1" ht="35.25" customHeight="1" spans="1:15">
      <c r="A302" s="207">
        <v>298</v>
      </c>
      <c r="B302" s="208"/>
      <c r="C302" s="209"/>
      <c r="D302" s="210"/>
      <c r="E302" s="210"/>
      <c r="F302" s="210"/>
      <c r="G302" s="209"/>
      <c r="H302" s="209"/>
      <c r="I302" s="214"/>
      <c r="J302" s="214"/>
      <c r="K302" s="214"/>
      <c r="L302" s="215"/>
      <c r="M302" s="214"/>
      <c r="N302" s="214"/>
      <c r="O302" s="205" t="s">
        <v>88</v>
      </c>
    </row>
    <row r="303" s="1" customFormat="1" ht="35.25" customHeight="1" spans="1:15">
      <c r="A303" s="207">
        <v>299</v>
      </c>
      <c r="B303" s="208"/>
      <c r="C303" s="209"/>
      <c r="D303" s="210"/>
      <c r="E303" s="210"/>
      <c r="F303" s="210"/>
      <c r="G303" s="209"/>
      <c r="H303" s="209"/>
      <c r="I303" s="214"/>
      <c r="J303" s="214"/>
      <c r="K303" s="214"/>
      <c r="L303" s="215"/>
      <c r="M303" s="214"/>
      <c r="N303" s="214"/>
      <c r="O303" s="205" t="s">
        <v>88</v>
      </c>
    </row>
    <row r="304" s="1" customFormat="1" ht="35.25" customHeight="1" spans="1:15">
      <c r="A304" s="207">
        <v>300</v>
      </c>
      <c r="B304" s="208"/>
      <c r="C304" s="209"/>
      <c r="D304" s="210"/>
      <c r="E304" s="210"/>
      <c r="F304" s="210"/>
      <c r="G304" s="209"/>
      <c r="H304" s="209"/>
      <c r="I304" s="214"/>
      <c r="J304" s="214"/>
      <c r="K304" s="214"/>
      <c r="L304" s="215"/>
      <c r="M304" s="214"/>
      <c r="N304" s="214"/>
      <c r="O304" s="205" t="s">
        <v>88</v>
      </c>
    </row>
    <row r="305" s="1" customFormat="1" ht="35.25" customHeight="1"/>
    <row r="306" s="1" customFormat="1" ht="35.25" customHeight="1"/>
    <row r="307" s="1" customFormat="1" ht="35.25" customHeight="1"/>
    <row r="308" s="1" customFormat="1" ht="35.25" customHeight="1"/>
    <row r="309" s="1" customFormat="1" ht="35.25" customHeight="1"/>
    <row r="310" s="1" customFormat="1" ht="35.25" customHeight="1"/>
    <row r="311" s="1" customFormat="1" ht="35.25" customHeight="1"/>
    <row r="312" s="1" customFormat="1" ht="35.25" customHeight="1"/>
    <row r="313" s="1" customFormat="1" ht="35.25" customHeight="1"/>
    <row r="314" s="1" customFormat="1" ht="35.25" customHeight="1"/>
    <row r="315" s="1" customFormat="1" ht="35.25" customHeight="1"/>
    <row r="316" s="1" customFormat="1" ht="35.25" customHeight="1"/>
    <row r="317" s="1" customFormat="1" ht="35.25" customHeight="1"/>
    <row r="318" s="1" customFormat="1" ht="35.25" customHeight="1"/>
    <row r="319" s="1" customFormat="1" ht="35.25" customHeight="1"/>
    <row r="320" s="1" customFormat="1" ht="35.25" customHeight="1"/>
    <row r="321" s="1" customFormat="1" ht="35.25" customHeight="1"/>
    <row r="322" s="1" customFormat="1" ht="35.25" customHeight="1"/>
    <row r="323" s="1" customFormat="1" ht="35.25" customHeight="1"/>
    <row r="324" s="1" customFormat="1" ht="35.25" customHeight="1"/>
    <row r="325" s="1" customFormat="1" ht="35.25" customHeight="1"/>
    <row r="326" s="1" customFormat="1" ht="35.25" customHeight="1"/>
    <row r="327" s="1" customFormat="1" ht="35.25" customHeight="1"/>
    <row r="328" s="1" customFormat="1" ht="35.25" customHeight="1"/>
    <row r="329" s="1" customFormat="1" ht="35.25" customHeight="1"/>
    <row r="330" s="1" customFormat="1" ht="35.25" customHeight="1"/>
    <row r="331" s="1" customFormat="1" ht="35.25" customHeight="1"/>
    <row r="332" s="1" customFormat="1" ht="35.25" customHeight="1"/>
    <row r="333" s="1" customFormat="1" ht="35.25" customHeight="1"/>
    <row r="334" s="1" customFormat="1" ht="35.25" customHeight="1"/>
    <row r="335" s="1" customFormat="1" ht="35.25" customHeight="1"/>
    <row r="336" s="1" customFormat="1" ht="35.25" customHeight="1"/>
    <row r="337" s="1" customFormat="1" ht="35.25" customHeight="1"/>
    <row r="338" s="1" customFormat="1" ht="35.25" customHeight="1"/>
    <row r="339" s="1" customFormat="1" ht="35.25" customHeight="1"/>
    <row r="340" s="1" customFormat="1" ht="35.25" customHeight="1"/>
    <row r="341" s="1" customFormat="1" ht="35.25" customHeight="1"/>
    <row r="342" s="1" customFormat="1" ht="35.25" customHeight="1"/>
    <row r="343" s="1" customFormat="1" ht="35.25" customHeight="1"/>
    <row r="344" s="1" customFormat="1" ht="35.25" customHeight="1"/>
    <row r="345" s="1" customFormat="1" ht="35.25" customHeight="1"/>
    <row r="346" s="1" customFormat="1" ht="35.25" customHeight="1"/>
    <row r="347" s="1" customFormat="1" ht="35.25" customHeight="1"/>
    <row r="348" s="1" customFormat="1" ht="35.25" customHeight="1"/>
    <row r="349" s="1" customFormat="1" ht="35.25" customHeight="1"/>
    <row r="350" s="1" customFormat="1" ht="35.25" customHeight="1"/>
    <row r="351" s="1" customFormat="1" ht="35.25" customHeight="1"/>
    <row r="352" s="1" customFormat="1" ht="35.25" customHeight="1"/>
    <row r="353" s="1" customFormat="1" ht="35.25" customHeight="1"/>
    <row r="354" s="1" customFormat="1" ht="35.25" customHeight="1"/>
    <row r="355" s="1" customFormat="1" ht="35.25" customHeight="1"/>
    <row r="356" s="1" customFormat="1" ht="35.25" customHeight="1"/>
    <row r="357" s="1" customFormat="1" ht="35.25" customHeight="1"/>
    <row r="358" s="1" customFormat="1" ht="35.25" customHeight="1"/>
    <row r="359" s="1" customFormat="1" ht="35.25" customHeight="1"/>
    <row r="360" s="1" customFormat="1" ht="35.25" customHeight="1"/>
    <row r="361" s="1" customFormat="1" ht="35.25" customHeight="1"/>
    <row r="362" s="1" customFormat="1" ht="35.25" customHeight="1"/>
    <row r="363" s="1" customFormat="1" ht="35.25" customHeight="1"/>
    <row r="364" s="1" customFormat="1" ht="35.25" customHeight="1"/>
    <row r="365" s="1" customFormat="1" ht="35.25" customHeight="1"/>
    <row r="366" s="1" customFormat="1" ht="35.25" customHeight="1"/>
    <row r="367" s="1" customFormat="1" ht="35.25" customHeight="1"/>
    <row r="368" s="1" customFormat="1" ht="35.25" customHeight="1"/>
    <row r="369" s="1" customFormat="1" ht="35.25" customHeight="1"/>
    <row r="370" s="1" customFormat="1" ht="35.25" customHeight="1"/>
    <row r="371" s="1" customFormat="1" ht="35.25" customHeight="1"/>
    <row r="372" s="1" customFormat="1" ht="35.25" customHeight="1"/>
    <row r="373" s="1" customFormat="1" ht="35.25" customHeight="1"/>
    <row r="374" s="1" customFormat="1" ht="35.25" customHeight="1"/>
    <row r="375" s="1" customFormat="1" ht="35.25" customHeight="1"/>
    <row r="376" s="1" customFormat="1" ht="35.25" customHeight="1"/>
    <row r="377" s="1" customFormat="1" ht="35.25" customHeight="1"/>
    <row r="378" s="1" customFormat="1" ht="35.25" customHeight="1"/>
    <row r="379" s="1" customFormat="1" ht="35.25" customHeight="1"/>
    <row r="380" s="1" customFormat="1" ht="35.25" customHeight="1"/>
    <row r="381" s="1" customFormat="1" ht="35.25" customHeight="1"/>
    <row r="382" s="1" customFormat="1" ht="35.25" customHeight="1"/>
    <row r="383" s="1" customFormat="1" ht="35.25" customHeight="1"/>
    <row r="384" s="1" customFormat="1" ht="35.25" customHeight="1"/>
    <row r="385" s="1" customFormat="1" ht="35.25" customHeight="1"/>
    <row r="386" s="1" customFormat="1" ht="35.25" customHeight="1"/>
    <row r="387" s="1" customFormat="1" ht="35.25" customHeight="1"/>
    <row r="388" s="1" customFormat="1" ht="35.25" customHeight="1"/>
    <row r="389" s="1" customFormat="1" ht="35.25" customHeight="1"/>
    <row r="390" s="1" customFormat="1" ht="35.25" customHeight="1"/>
    <row r="391" s="1" customFormat="1" ht="35.25" customHeight="1"/>
    <row r="392" s="1" customFormat="1" ht="35.25" customHeight="1"/>
    <row r="393" s="1" customFormat="1" ht="35.25" customHeight="1"/>
    <row r="394" s="1" customFormat="1" ht="35.25" customHeight="1"/>
    <row r="395" s="1" customFormat="1" ht="35.25" customHeight="1"/>
    <row r="396" s="1" customFormat="1" ht="35.25" customHeight="1"/>
    <row r="397" s="1" customFormat="1" ht="35.25" customHeight="1"/>
    <row r="398" s="1" customFormat="1" ht="35.25" customHeight="1"/>
    <row r="399" s="1" customFormat="1" ht="35.25" customHeight="1"/>
    <row r="400" s="1" customFormat="1" ht="35.25" customHeight="1"/>
    <row r="401" s="1" customFormat="1" ht="35.25" customHeight="1"/>
    <row r="402" s="1" customFormat="1" ht="35.25" customHeight="1"/>
    <row r="403" s="1" customFormat="1" ht="35.25" customHeight="1"/>
    <row r="404" s="1" customFormat="1" ht="35.25" customHeight="1"/>
    <row r="405" s="1" customFormat="1" ht="35.25" customHeight="1"/>
    <row r="406" s="1" customFormat="1" ht="35.25" customHeight="1"/>
    <row r="407" s="1" customFormat="1" ht="35.25" customHeight="1"/>
    <row r="408" s="1" customFormat="1" ht="35.25" customHeight="1"/>
    <row r="409" s="1" customFormat="1" ht="35.25" customHeight="1"/>
    <row r="410" s="1" customFormat="1" ht="35.25" customHeight="1"/>
    <row r="411" s="1" customFormat="1" ht="35.25" customHeight="1"/>
    <row r="412" s="1" customFormat="1" ht="35.25" customHeight="1"/>
    <row r="413" s="1" customFormat="1" ht="35.25" customHeight="1"/>
    <row r="414" s="1" customFormat="1" ht="35.25" customHeight="1"/>
    <row r="415" s="1" customFormat="1" ht="35.25" customHeight="1"/>
    <row r="416" s="1" customFormat="1" ht="35.25" customHeight="1"/>
    <row r="417" s="1" customFormat="1" ht="35.25" customHeight="1"/>
    <row r="418" s="1" customFormat="1" ht="35.25" customHeight="1"/>
    <row r="419" s="1" customFormat="1" ht="35.25" customHeight="1"/>
    <row r="420" s="1" customFormat="1" ht="35.25" customHeight="1"/>
    <row r="421" s="1" customFormat="1" ht="35.25" customHeight="1"/>
    <row r="422" s="1" customFormat="1" ht="35.25" customHeight="1"/>
    <row r="423" s="1" customFormat="1" ht="35.25" customHeight="1"/>
    <row r="424" s="1" customFormat="1" ht="35.25" customHeight="1"/>
    <row r="425" s="1" customFormat="1" ht="35.25" customHeight="1"/>
    <row r="426" s="1" customFormat="1" ht="35.25" customHeight="1"/>
    <row r="427" s="1" customFormat="1" ht="35.25" customHeight="1"/>
    <row r="428" s="1" customFormat="1" ht="35.25" customHeight="1"/>
    <row r="429" s="1" customFormat="1" ht="35.25" customHeight="1"/>
    <row r="430" s="1" customFormat="1" ht="35.25" customHeight="1"/>
    <row r="431" s="1" customFormat="1" ht="35.25" customHeight="1"/>
    <row r="432" s="1" customFormat="1" ht="35.25" customHeight="1"/>
    <row r="433" s="1" customFormat="1" ht="35.25" customHeight="1"/>
    <row r="434" s="1" customFormat="1" ht="35.25" customHeight="1"/>
    <row r="435" s="1" customFormat="1" ht="35.25" customHeight="1"/>
    <row r="436" s="1" customFormat="1" ht="35.25" customHeight="1"/>
    <row r="437" s="1" customFormat="1" ht="35.25" customHeight="1"/>
    <row r="438" s="1" customFormat="1" ht="35.25" customHeight="1"/>
    <row r="439" s="1" customFormat="1" ht="35.25" customHeight="1"/>
    <row r="440" s="1" customFormat="1" ht="35.25" customHeight="1"/>
    <row r="441" s="1" customFormat="1" ht="35.25" customHeight="1"/>
    <row r="442" s="1" customFormat="1" ht="35.25" customHeight="1"/>
    <row r="443" s="1" customFormat="1" ht="35.25" customHeight="1"/>
    <row r="444" s="1" customFormat="1" ht="35.25" customHeight="1"/>
    <row r="445" s="1" customFormat="1" ht="35.25" customHeight="1"/>
    <row r="446" s="1" customFormat="1" ht="35.25" customHeight="1"/>
    <row r="447" s="1" customFormat="1" ht="35.25" customHeight="1"/>
    <row r="448" s="1" customFormat="1" ht="35.25" customHeight="1"/>
    <row r="449" s="1" customFormat="1" ht="35.25" customHeight="1"/>
    <row r="450" s="1" customFormat="1" ht="35.25" customHeight="1"/>
    <row r="451" s="1" customFormat="1" ht="35.25" customHeight="1"/>
    <row r="452" s="1" customFormat="1" ht="35.25" customHeight="1"/>
    <row r="453" s="1" customFormat="1" ht="35.25" customHeight="1"/>
    <row r="454" s="1" customFormat="1" ht="35.25" customHeight="1"/>
    <row r="455" s="1" customFormat="1" ht="35.25" customHeight="1"/>
    <row r="456" s="1" customFormat="1" ht="35.25" customHeight="1"/>
    <row r="457" s="1" customFormat="1" ht="35.25" customHeight="1"/>
    <row r="458" s="1" customFormat="1" ht="35.25" customHeight="1"/>
    <row r="459" s="1" customFormat="1" ht="35.25" customHeight="1"/>
    <row r="460" s="1" customFormat="1" ht="35.25" customHeight="1"/>
    <row r="461" s="1" customFormat="1" ht="35.25" customHeight="1"/>
    <row r="462" s="1" customFormat="1" ht="35.25" customHeight="1"/>
    <row r="463" s="1" customFormat="1" ht="35.25" customHeight="1"/>
    <row r="464" s="1" customFormat="1" ht="35.25" customHeight="1"/>
    <row r="465" s="1" customFormat="1" ht="35.25" customHeight="1"/>
    <row r="466" s="1" customFormat="1" ht="35.25" customHeight="1"/>
    <row r="467" s="1" customFormat="1" ht="35.25" customHeight="1"/>
    <row r="468" s="1" customFormat="1" ht="35.25" customHeight="1"/>
    <row r="469" s="1" customFormat="1" ht="35.25" customHeight="1"/>
    <row r="470" s="1" customFormat="1" ht="35.25" customHeight="1"/>
    <row r="471" s="1" customFormat="1" ht="35.25" customHeight="1"/>
    <row r="472" s="1" customFormat="1" ht="35.25" customHeight="1"/>
    <row r="473" s="1" customFormat="1" ht="35.25" customHeight="1"/>
    <row r="474" s="1" customFormat="1" ht="35.25" customHeight="1"/>
    <row r="475" s="1" customFormat="1" ht="35.25" customHeight="1"/>
    <row r="476" s="1" customFormat="1" ht="35.25" customHeight="1"/>
    <row r="477" s="1" customFormat="1" ht="35.25" customHeight="1"/>
    <row r="478" s="1" customFormat="1" ht="35.25" customHeight="1"/>
    <row r="479" s="1" customFormat="1" ht="35.25" customHeight="1"/>
    <row r="480" s="1" customFormat="1" ht="35.25" customHeight="1"/>
    <row r="481" s="1" customFormat="1" ht="35.25" customHeight="1"/>
    <row r="482" s="1" customFormat="1" ht="35.25" customHeight="1"/>
    <row r="483" s="1" customFormat="1" ht="35.25" customHeight="1"/>
    <row r="484" s="1" customFormat="1" ht="35.25" customHeight="1"/>
    <row r="485" s="1" customFormat="1" ht="35.25" customHeight="1"/>
    <row r="486" s="1" customFormat="1" ht="35.25" customHeight="1"/>
    <row r="487" s="1" customFormat="1" ht="35.25" customHeight="1"/>
    <row r="488" s="1" customFormat="1" ht="35.25" customHeight="1"/>
    <row r="489" s="1" customFormat="1" ht="35.25" customHeight="1"/>
    <row r="490" s="1" customFormat="1" ht="35.25" customHeight="1"/>
    <row r="491" s="1" customFormat="1" ht="35.25" customHeight="1"/>
    <row r="492" s="1" customFormat="1" ht="35.25" customHeight="1"/>
    <row r="493" s="1" customFormat="1" ht="35.25" customHeight="1"/>
    <row r="494" s="1" customFormat="1" ht="35.25" customHeight="1"/>
    <row r="495" s="1" customFormat="1" ht="35.25" customHeight="1"/>
    <row r="496" s="1" customFormat="1" ht="35.25" customHeight="1"/>
    <row r="497" s="1" customFormat="1" ht="35.25" customHeight="1"/>
    <row r="498" s="1" customFormat="1" ht="35.25" customHeight="1"/>
    <row r="499" s="1" customFormat="1" ht="35.25" customHeight="1"/>
    <row r="500" s="1" customFormat="1" ht="35.25" customHeight="1"/>
    <row r="501" s="1" customFormat="1" ht="35.25" customHeight="1"/>
    <row r="502" s="1" customFormat="1" ht="35.25" customHeight="1"/>
    <row r="503" s="1" customFormat="1" ht="35.25" customHeight="1"/>
    <row r="504" s="1" customFormat="1" ht="35.25" customHeight="1"/>
    <row r="505" s="1" customFormat="1" ht="35.25" customHeight="1"/>
    <row r="506" s="1" customFormat="1" ht="35.25" customHeight="1"/>
    <row r="507" s="1" customFormat="1" ht="35.25" customHeight="1"/>
    <row r="508" s="1" customFormat="1" ht="35.25" customHeight="1"/>
    <row r="509" s="1" customFormat="1" ht="35.25" customHeight="1"/>
    <row r="510" s="1" customFormat="1" ht="35.25" customHeight="1"/>
    <row r="511" s="1" customFormat="1" ht="35.25" customHeight="1"/>
    <row r="512" s="1" customFormat="1" ht="35.25" customHeight="1"/>
    <row r="513" s="1" customFormat="1" ht="35.25" customHeight="1"/>
    <row r="514" s="1" customFormat="1" ht="35.25" customHeight="1"/>
    <row r="515" s="1" customFormat="1" ht="35.25" customHeight="1"/>
    <row r="516" s="1" customFormat="1" ht="35.25" customHeight="1"/>
    <row r="517" s="1" customFormat="1" ht="35.25" customHeight="1"/>
    <row r="518" s="1" customFormat="1" ht="35.25" customHeight="1"/>
    <row r="519" s="1" customFormat="1" ht="35.25" customHeight="1"/>
    <row r="520" s="1" customFormat="1" ht="35.25" customHeight="1"/>
    <row r="521" s="1" customFormat="1" ht="35.25" customHeight="1"/>
    <row r="522" s="1" customFormat="1" ht="35.25" customHeight="1"/>
    <row r="523" s="1" customFormat="1" ht="35.25" customHeight="1"/>
    <row r="524" s="1" customFormat="1" ht="35.25" customHeight="1"/>
    <row r="525" s="1" customFormat="1" ht="35.25" customHeight="1"/>
    <row r="526" s="1" customFormat="1" ht="35.25" customHeight="1"/>
    <row r="527" s="1" customFormat="1" ht="35.25" customHeight="1"/>
    <row r="528" s="1" customFormat="1" ht="35.25" customHeight="1"/>
    <row r="529" s="1" customFormat="1" ht="35.25" customHeight="1"/>
    <row r="530" s="1" customFormat="1" ht="35.25" customHeight="1"/>
    <row r="531" s="1" customFormat="1" ht="35.25" customHeight="1"/>
    <row r="532" s="1" customFormat="1" ht="35.25" customHeight="1"/>
    <row r="533" s="1" customFormat="1" ht="35.25" customHeight="1"/>
    <row r="534" s="1" customFormat="1" ht="35.25" customHeight="1"/>
    <row r="535" s="1" customFormat="1" ht="35.25" customHeight="1"/>
    <row r="536" s="1" customFormat="1" ht="35.25" customHeight="1"/>
    <row r="537" s="1" customFormat="1" ht="35.25" customHeight="1"/>
    <row r="538" s="1" customFormat="1" ht="35.25" customHeight="1"/>
    <row r="539" s="1" customFormat="1" ht="35.25" customHeight="1"/>
    <row r="540" s="1" customFormat="1" ht="35.25" customHeight="1"/>
    <row r="541" s="1" customFormat="1" ht="35.25" customHeight="1"/>
    <row r="542" s="1" customFormat="1" ht="35.25" customHeight="1"/>
    <row r="543" s="1" customFormat="1" ht="35.25" customHeight="1"/>
    <row r="544" s="1" customFormat="1" ht="35.25" customHeight="1"/>
    <row r="545" s="1" customFormat="1" ht="35.25" customHeight="1"/>
    <row r="546" s="1" customFormat="1" ht="35.25" customHeight="1"/>
    <row r="547" s="1" customFormat="1" ht="35.25" customHeight="1"/>
    <row r="548" s="1" customFormat="1" ht="35.25" customHeight="1"/>
    <row r="549" s="1" customFormat="1" ht="35.25" customHeight="1"/>
    <row r="550" s="1" customFormat="1" ht="35.25" customHeight="1"/>
    <row r="551" s="1" customFormat="1" ht="35.25" customHeight="1"/>
    <row r="552" s="1" customFormat="1" ht="35.25" customHeight="1"/>
    <row r="553" s="1" customFormat="1" ht="35.25" customHeight="1"/>
    <row r="554" s="1" customFormat="1" ht="35.25" customHeight="1"/>
    <row r="555" s="1" customFormat="1" ht="35.25" customHeight="1"/>
    <row r="556" s="1" customFormat="1" ht="35.25" customHeight="1"/>
    <row r="557" s="1" customFormat="1" ht="35.25" customHeight="1"/>
    <row r="558" s="1" customFormat="1" ht="35.25" customHeight="1"/>
    <row r="559" s="1" customFormat="1" ht="35.25" customHeight="1"/>
    <row r="560" s="1" customFormat="1" ht="35.25" customHeight="1"/>
    <row r="561" s="1" customFormat="1" ht="35.25" customHeight="1"/>
    <row r="562" s="1" customFormat="1" ht="35.25" customHeight="1"/>
    <row r="563" s="1" customFormat="1" ht="35.25" customHeight="1"/>
    <row r="564" s="1" customFormat="1" ht="35.25" customHeight="1"/>
    <row r="565" s="1" customFormat="1" ht="35.25" customHeight="1"/>
    <row r="566" s="1" customFormat="1" ht="35.25" customHeight="1"/>
    <row r="567" s="1" customFormat="1" ht="35.25" customHeight="1"/>
    <row r="568" s="1" customFormat="1" ht="35.25" customHeight="1"/>
    <row r="569" s="1" customFormat="1" ht="35.25" customHeight="1"/>
    <row r="570" s="1" customFormat="1" ht="35.25" customHeight="1"/>
    <row r="571" s="1" customFormat="1" ht="35.25" customHeight="1"/>
    <row r="572" s="1" customFormat="1" ht="35.25" customHeight="1"/>
    <row r="573" s="1" customFormat="1" ht="35.25" customHeight="1"/>
    <row r="574" s="1" customFormat="1" ht="35.25" customHeight="1"/>
    <row r="575" s="1" customFormat="1" ht="35.25" customHeight="1"/>
    <row r="576" s="1" customFormat="1" ht="35.25" customHeight="1"/>
    <row r="577" s="1" customFormat="1" ht="35.25" customHeight="1"/>
    <row r="578" s="1" customFormat="1" ht="35.25" customHeight="1"/>
    <row r="579" s="1" customFormat="1" ht="35.25" customHeight="1"/>
    <row r="580" s="1" customFormat="1" ht="35.25" customHeight="1"/>
    <row r="581" s="1" customFormat="1" ht="35.25" customHeight="1"/>
    <row r="582" s="1" customFormat="1" ht="35.25" customHeight="1"/>
    <row r="583" s="1" customFormat="1" ht="35.25" customHeight="1"/>
    <row r="584" s="1" customFormat="1" ht="35.25" customHeight="1"/>
    <row r="585" s="1" customFormat="1" ht="35.25" customHeight="1"/>
    <row r="586" s="1" customFormat="1" ht="35.25" customHeight="1"/>
    <row r="587" s="1" customFormat="1" ht="35.25" customHeight="1"/>
    <row r="588" s="1" customFormat="1" ht="35.25" customHeight="1"/>
    <row r="589" s="1" customFormat="1" ht="35.25" customHeight="1"/>
    <row r="590" s="1" customFormat="1" ht="35.25" customHeight="1"/>
    <row r="591" s="1" customFormat="1" ht="35.25" customHeight="1"/>
    <row r="592" s="1" customFormat="1" ht="35.25" customHeight="1"/>
    <row r="593" s="1" customFormat="1" ht="35.25" customHeight="1"/>
    <row r="594" s="1" customFormat="1" ht="35.25" customHeight="1"/>
    <row r="595" s="1" customFormat="1" ht="35.25" customHeight="1"/>
    <row r="596" s="1" customFormat="1" ht="35.25" customHeight="1"/>
    <row r="597" s="1" customFormat="1" ht="35.25" customHeight="1"/>
    <row r="598" s="1" customFormat="1" ht="35.25" customHeight="1"/>
    <row r="599" s="1" customFormat="1" ht="35.25" customHeight="1"/>
    <row r="600" s="1" customFormat="1" ht="35.25" customHeight="1"/>
    <row r="601" s="1" customFormat="1" ht="35.25" customHeight="1"/>
    <row r="602" s="1" customFormat="1" ht="35.25" customHeight="1"/>
    <row r="603" s="1" customFormat="1" ht="35.25" customHeight="1"/>
    <row r="604" s="1" customFormat="1" ht="35.25" customHeight="1"/>
    <row r="605" s="1" customFormat="1" ht="35.25" customHeight="1"/>
    <row r="606" s="1" customFormat="1" ht="35.25" customHeight="1"/>
    <row r="607" s="1" customFormat="1" ht="35.25" customHeight="1"/>
    <row r="608" s="1" customFormat="1" ht="35.25" customHeight="1"/>
    <row r="609" s="1" customFormat="1" ht="35.25" customHeight="1"/>
    <row r="610" s="1" customFormat="1" ht="35.25" customHeight="1"/>
    <row r="611" s="1" customFormat="1" ht="35.25" customHeight="1"/>
    <row r="612" s="1" customFormat="1" ht="35.25" customHeight="1"/>
    <row r="613" s="1" customFormat="1" ht="35.25" customHeight="1"/>
    <row r="614" s="1" customFormat="1" ht="35.25" customHeight="1"/>
    <row r="615" s="1" customFormat="1" ht="35.25" customHeight="1"/>
    <row r="616" s="1" customFormat="1" ht="35.25" customHeight="1"/>
    <row r="617" s="1" customFormat="1" ht="35.25" customHeight="1"/>
    <row r="618" s="1" customFormat="1" ht="35.25" customHeight="1"/>
    <row r="619" s="1" customFormat="1" ht="35.25" customHeight="1"/>
    <row r="620" s="1" customFormat="1" ht="35.25" customHeight="1"/>
    <row r="621" s="1" customFormat="1" ht="35.25" customHeight="1"/>
    <row r="622" s="1" customFormat="1" ht="35.25" customHeight="1"/>
    <row r="623" s="1" customFormat="1" ht="35.25" customHeight="1"/>
    <row r="624" s="1" customFormat="1" ht="35.25" customHeight="1"/>
    <row r="625" s="1" customFormat="1" ht="35.25" customHeight="1"/>
    <row r="626" s="1" customFormat="1" ht="35.25" customHeight="1"/>
    <row r="627" s="1" customFormat="1" ht="35.25" customHeight="1"/>
    <row r="628" s="1" customFormat="1" ht="35.25" customHeight="1"/>
    <row r="629" s="1" customFormat="1" ht="35.25" customHeight="1"/>
    <row r="630" s="1" customFormat="1" ht="35.25" customHeight="1"/>
    <row r="631" s="1" customFormat="1" ht="35.25" customHeight="1"/>
    <row r="632" s="1" customFormat="1" ht="35.25" customHeight="1"/>
    <row r="633" s="1" customFormat="1" ht="35.25" customHeight="1"/>
    <row r="634" s="1" customFormat="1" ht="35.25" customHeight="1"/>
    <row r="635" s="1" customFormat="1" ht="35.25" customHeight="1"/>
    <row r="636" s="1" customFormat="1" ht="35.25" customHeight="1"/>
    <row r="637" s="1" customFormat="1" ht="35.25" customHeight="1"/>
    <row r="638" s="1" customFormat="1" ht="35.25" customHeight="1"/>
    <row r="639" s="1" customFormat="1" ht="35.25" customHeight="1"/>
    <row r="640" s="1" customFormat="1" ht="35.25" customHeight="1"/>
    <row r="641" s="1" customFormat="1" ht="35.25" customHeight="1"/>
    <row r="642" s="1" customFormat="1" ht="35.25" customHeight="1"/>
    <row r="643" s="1" customFormat="1" ht="35.25" customHeight="1"/>
    <row r="644" s="1" customFormat="1" ht="35.25" customHeight="1"/>
    <row r="645" s="1" customFormat="1" ht="35.25" customHeight="1"/>
    <row r="646" s="1" customFormat="1" ht="35.25" customHeight="1"/>
    <row r="647" s="1" customFormat="1" ht="35.25" customHeight="1"/>
    <row r="648" s="1" customFormat="1" ht="35.25" customHeight="1"/>
    <row r="649" s="1" customFormat="1" ht="35.25" customHeight="1"/>
    <row r="650" s="1" customFormat="1" ht="35.25" customHeight="1"/>
    <row r="651" s="1" customFormat="1" ht="35.25" customHeight="1"/>
    <row r="652" s="1" customFormat="1" ht="35.25" customHeight="1"/>
    <row r="653" s="1" customFormat="1" ht="35.25" customHeight="1"/>
    <row r="654" s="1" customFormat="1" ht="35.25" customHeight="1"/>
    <row r="655" s="1" customFormat="1" ht="35.25" customHeight="1"/>
    <row r="656" s="1" customFormat="1" ht="35.25" customHeight="1"/>
    <row r="657" s="1" customFormat="1" ht="35.25" customHeight="1"/>
    <row r="658" s="1" customFormat="1" ht="35.25" customHeight="1"/>
    <row r="659" s="1" customFormat="1" ht="35.25" customHeight="1"/>
    <row r="660" s="1" customFormat="1" ht="35.25" customHeight="1"/>
    <row r="661" s="1" customFormat="1" ht="35.25" customHeight="1"/>
    <row r="662" s="1" customFormat="1" ht="35.25" customHeight="1"/>
    <row r="663" s="1" customFormat="1" ht="35.25" customHeight="1"/>
    <row r="664" s="1" customFormat="1" ht="35.25" customHeight="1"/>
    <row r="665" s="1" customFormat="1" ht="35.25" customHeight="1"/>
    <row r="666" s="1" customFormat="1" ht="35.25" customHeight="1"/>
    <row r="667" s="1" customFormat="1" ht="35.25" customHeight="1"/>
    <row r="668" s="1" customFormat="1" ht="35.25" customHeight="1"/>
    <row r="669" s="1" customFormat="1" ht="35.25" customHeight="1"/>
    <row r="670" s="1" customFormat="1" ht="35.25" customHeight="1"/>
    <row r="671" s="1" customFormat="1" ht="35.25" customHeight="1"/>
    <row r="672" s="1" customFormat="1" ht="35.25" customHeight="1"/>
    <row r="673" s="1" customFormat="1" ht="35.25" customHeight="1"/>
    <row r="674" s="1" customFormat="1" ht="35.25" customHeight="1"/>
    <row r="675" s="1" customFormat="1" ht="35.25" customHeight="1"/>
    <row r="676" s="1" customFormat="1" ht="35.25" customHeight="1"/>
    <row r="677" s="1" customFormat="1" ht="35.25" customHeight="1"/>
    <row r="678" s="1" customFormat="1" ht="35.25" customHeight="1"/>
    <row r="679" s="1" customFormat="1" ht="35.25" customHeight="1"/>
    <row r="680" s="1" customFormat="1" ht="35.25" customHeight="1"/>
    <row r="681" s="1" customFormat="1" ht="35.25" customHeight="1"/>
    <row r="682" s="1" customFormat="1" ht="35.25" customHeight="1"/>
    <row r="683" s="1" customFormat="1" ht="35.25" customHeight="1"/>
    <row r="684" s="1" customFormat="1" ht="35.25" customHeight="1"/>
    <row r="685" s="1" customFormat="1" ht="35.25" customHeight="1"/>
    <row r="686" s="1" customFormat="1" ht="35.25" customHeight="1"/>
    <row r="687" s="1" customFormat="1" ht="35.25" customHeight="1"/>
    <row r="688" s="1" customFormat="1" ht="35.25" customHeight="1"/>
    <row r="689" s="1" customFormat="1" ht="35.25" customHeight="1"/>
    <row r="690" s="1" customFormat="1" ht="35.25" customHeight="1"/>
    <row r="691" s="1" customFormat="1" ht="35.25" customHeight="1"/>
    <row r="692" s="1" customFormat="1" ht="35.25" customHeight="1"/>
    <row r="693" s="1" customFormat="1" ht="35.25" customHeight="1"/>
    <row r="694" s="1" customFormat="1" ht="35.25" customHeight="1"/>
    <row r="695" s="1" customFormat="1" ht="35.25" customHeight="1"/>
    <row r="696" s="1" customFormat="1" ht="35.25" customHeight="1"/>
    <row r="697" s="1" customFormat="1" ht="35.25" customHeight="1"/>
    <row r="698" s="1" customFormat="1" ht="35.25" customHeight="1"/>
    <row r="699" s="1" customFormat="1" ht="35.25" customHeight="1"/>
    <row r="700" s="1" customFormat="1" ht="35.25" customHeight="1"/>
    <row r="701" s="1" customFormat="1" ht="35.25" customHeight="1"/>
    <row r="702" s="1" customFormat="1" ht="35.25" customHeight="1"/>
    <row r="703" s="1" customFormat="1" ht="35.25" customHeight="1"/>
    <row r="704" s="1" customFormat="1" ht="35.25" customHeight="1"/>
    <row r="705" s="1" customFormat="1" ht="35.25" customHeight="1"/>
    <row r="706" s="1" customFormat="1" ht="35.25" customHeight="1"/>
    <row r="707" s="1" customFormat="1" ht="35.25" customHeight="1"/>
    <row r="708" s="1" customFormat="1" ht="35.25" customHeight="1"/>
    <row r="709" s="1" customFormat="1" ht="35.25" customHeight="1"/>
    <row r="710" s="1" customFormat="1" ht="35.25" customHeight="1"/>
    <row r="711" s="1" customFormat="1" ht="35.25" customHeight="1"/>
    <row r="712" s="1" customFormat="1" ht="35.25" customHeight="1"/>
    <row r="713" s="1" customFormat="1" ht="35.25" customHeight="1"/>
    <row r="714" s="1" customFormat="1" ht="35.25" customHeight="1"/>
    <row r="715" s="1" customFormat="1" ht="35.25" customHeight="1"/>
    <row r="716" s="1" customFormat="1" ht="35.25" customHeight="1"/>
    <row r="717" s="1" customFormat="1" ht="35.25" customHeight="1"/>
    <row r="718" s="1" customFormat="1" ht="35.25" customHeight="1"/>
    <row r="719" s="1" customFormat="1" ht="35.25" customHeight="1"/>
    <row r="720" s="1" customFormat="1" ht="35.25" customHeight="1"/>
    <row r="721" s="1" customFormat="1" ht="35.25" customHeight="1"/>
    <row r="722" s="1" customFormat="1" ht="35.25" customHeight="1"/>
    <row r="723" s="1" customFormat="1" ht="35.25" customHeight="1"/>
    <row r="724" s="1" customFormat="1" ht="35.25" customHeight="1"/>
    <row r="725" s="1" customFormat="1" ht="35.25" customHeight="1"/>
    <row r="726" s="1" customFormat="1" ht="35.25" customHeight="1"/>
    <row r="727" s="1" customFormat="1" ht="35.25" customHeight="1"/>
    <row r="728" s="1" customFormat="1" ht="35.25" customHeight="1"/>
    <row r="729" s="1" customFormat="1" ht="35.25" customHeight="1"/>
    <row r="730" s="1" customFormat="1" ht="35.25" customHeight="1"/>
    <row r="731" s="1" customFormat="1" ht="35.25" customHeight="1"/>
    <row r="732" s="1" customFormat="1" ht="35.25" customHeight="1"/>
    <row r="733" s="1" customFormat="1" ht="35.25" customHeight="1"/>
    <row r="734" s="1" customFormat="1" ht="35.25" customHeight="1"/>
    <row r="735" s="1" customFormat="1" ht="35.25" customHeight="1"/>
    <row r="736" s="1" customFormat="1" ht="35.25" customHeight="1"/>
    <row r="737" s="1" customFormat="1" ht="35.25" customHeight="1"/>
    <row r="738" s="1" customFormat="1" ht="35.25" customHeight="1"/>
    <row r="739" s="1" customFormat="1" ht="35.25" customHeight="1"/>
    <row r="740" s="1" customFormat="1" ht="35.25" customHeight="1"/>
    <row r="741" s="1" customFormat="1" ht="35.25" customHeight="1"/>
    <row r="742" s="1" customFormat="1" ht="35.25" customHeight="1"/>
    <row r="743" s="1" customFormat="1" ht="35.25" customHeight="1"/>
    <row r="744" s="1" customFormat="1" ht="35.25" customHeight="1"/>
    <row r="745" s="1" customFormat="1" ht="35.25" customHeight="1"/>
    <row r="746" s="1" customFormat="1" ht="35.25" customHeight="1"/>
    <row r="747" s="1" customFormat="1" ht="35.25" customHeight="1"/>
    <row r="748" s="1" customFormat="1" ht="35.25" customHeight="1"/>
    <row r="749" s="1" customFormat="1" ht="35.25" customHeight="1"/>
    <row r="750" s="1" customFormat="1" ht="35.25" customHeight="1"/>
    <row r="751" s="1" customFormat="1" ht="35.25" customHeight="1"/>
    <row r="752" s="1" customFormat="1" ht="35.25" customHeight="1"/>
    <row r="753" s="1" customFormat="1" ht="35.25" customHeight="1"/>
    <row r="754" s="1" customFormat="1" ht="35.25" customHeight="1"/>
    <row r="755" s="1" customFormat="1" ht="35.25" customHeight="1"/>
    <row r="756" s="1" customFormat="1" ht="35.25" customHeight="1"/>
    <row r="757" s="1" customFormat="1" ht="35.25" customHeight="1"/>
    <row r="758" s="1" customFormat="1" ht="35.25" customHeight="1"/>
    <row r="759" s="1" customFormat="1" ht="35.25" customHeight="1"/>
    <row r="760" s="1" customFormat="1" ht="35.25" customHeight="1"/>
    <row r="761" s="1" customFormat="1" ht="35.25" customHeight="1"/>
    <row r="762" s="1" customFormat="1" ht="35.25" customHeight="1"/>
    <row r="763" s="1" customFormat="1" ht="35.25" customHeight="1"/>
    <row r="764" s="1" customFormat="1" ht="35.25" customHeight="1"/>
    <row r="765" s="1" customFormat="1" ht="35.25" customHeight="1"/>
    <row r="766" s="1" customFormat="1" ht="35.25" customHeight="1"/>
    <row r="767" s="1" customFormat="1" ht="35.25" customHeight="1"/>
    <row r="768" s="1" customFormat="1" ht="35.25" customHeight="1"/>
    <row r="769" s="1" customFormat="1" ht="35.25" customHeight="1"/>
    <row r="770" s="1" customFormat="1" ht="35.25" customHeight="1"/>
    <row r="771" s="1" customFormat="1" ht="35.25" customHeight="1"/>
    <row r="772" s="1" customFormat="1" ht="35.25" customHeight="1"/>
    <row r="773" s="1" customFormat="1" ht="35.25" customHeight="1"/>
    <row r="774" s="1" customFormat="1" ht="35.25" customHeight="1"/>
    <row r="775" s="1" customFormat="1" ht="35.25" customHeight="1"/>
    <row r="776" s="1" customFormat="1" ht="35.25" customHeight="1"/>
    <row r="777" s="1" customFormat="1" ht="35.25" customHeight="1"/>
    <row r="778" s="1" customFormat="1" ht="35.25" customHeight="1"/>
    <row r="779" s="1" customFormat="1" ht="35.25" customHeight="1"/>
    <row r="780" s="1" customFormat="1" ht="35.25" customHeight="1"/>
    <row r="781" s="1" customFormat="1" ht="35.25" customHeight="1"/>
    <row r="782" s="1" customFormat="1" ht="35.25" customHeight="1"/>
    <row r="783" s="1" customFormat="1" ht="35.25" customHeight="1"/>
    <row r="784" s="1" customFormat="1" ht="35.25" customHeight="1"/>
    <row r="785" s="1" customFormat="1" ht="35.25" customHeight="1"/>
    <row r="786" s="1" customFormat="1" ht="35.25" customHeight="1"/>
    <row r="787" s="1" customFormat="1" ht="35.25" customHeight="1"/>
    <row r="788" s="1" customFormat="1" ht="35.25" customHeight="1"/>
    <row r="789" s="1" customFormat="1" ht="35.25" customHeight="1"/>
    <row r="790" s="1" customFormat="1" ht="35.25" customHeight="1"/>
    <row r="791" s="1" customFormat="1" ht="35.25" customHeight="1"/>
    <row r="792" s="1" customFormat="1" ht="35.25" customHeight="1"/>
    <row r="793" s="1" customFormat="1" ht="35.25" customHeight="1"/>
    <row r="794" s="1" customFormat="1" ht="35.25" customHeight="1"/>
    <row r="795" s="1" customFormat="1" ht="35.25" customHeight="1"/>
    <row r="796" s="1" customFormat="1" ht="35.25" customHeight="1"/>
    <row r="797" s="1" customFormat="1" ht="35.25" customHeight="1"/>
    <row r="798" s="1" customFormat="1" ht="35.25" customHeight="1"/>
    <row r="799" s="1" customFormat="1" ht="35.25" customHeight="1"/>
    <row r="800" s="1" customFormat="1" ht="35.25" customHeight="1"/>
    <row r="801" s="1" customFormat="1" ht="35.25" customHeight="1"/>
    <row r="802" s="1" customFormat="1" ht="35.25" customHeight="1"/>
    <row r="803" s="1" customFormat="1" ht="35.25" customHeight="1"/>
    <row r="804" s="1" customFormat="1" ht="35.25" customHeight="1"/>
    <row r="805" s="1" customFormat="1" ht="35.25" customHeight="1"/>
    <row r="806" s="1" customFormat="1" ht="35.25" customHeight="1"/>
    <row r="807" s="1" customFormat="1" ht="35.25" customHeight="1"/>
    <row r="808" s="1" customFormat="1" ht="35.25" customHeight="1"/>
    <row r="809" s="1" customFormat="1" ht="35.25" customHeight="1"/>
    <row r="810" s="1" customFormat="1" ht="35.25" customHeight="1"/>
    <row r="811" s="1" customFormat="1" ht="35.25" customHeight="1"/>
    <row r="812" s="1" customFormat="1" ht="35.25" customHeight="1"/>
    <row r="813" s="1" customFormat="1" ht="35.25" customHeight="1"/>
    <row r="814" s="1" customFormat="1" ht="35.25" customHeight="1"/>
    <row r="815" s="1" customFormat="1" ht="35.25" customHeight="1"/>
    <row r="816" s="1" customFormat="1" ht="35.25" customHeight="1"/>
    <row r="817" s="1" customFormat="1" ht="35.25" customHeight="1"/>
    <row r="818" s="1" customFormat="1" ht="35.25" customHeight="1"/>
    <row r="819" s="1" customFormat="1" ht="35.25" customHeight="1"/>
    <row r="820" s="1" customFormat="1" ht="35.25" customHeight="1"/>
    <row r="821" s="1" customFormat="1" ht="35.25" customHeight="1"/>
    <row r="822" s="1" customFormat="1" ht="35.25" customHeight="1"/>
    <row r="823" s="1" customFormat="1" ht="35.25" customHeight="1"/>
    <row r="824" s="1" customFormat="1" ht="35.25" customHeight="1"/>
    <row r="825" s="1" customFormat="1" ht="35.25" customHeight="1"/>
    <row r="826" s="1" customFormat="1" ht="35.25" customHeight="1"/>
    <row r="827" s="1" customFormat="1" ht="35.25" customHeight="1"/>
    <row r="828" s="1" customFormat="1" ht="35.25" customHeight="1"/>
    <row r="829" s="1" customFormat="1" ht="35.25" customHeight="1"/>
    <row r="830" s="1" customFormat="1" ht="35.25" customHeight="1"/>
    <row r="831" s="1" customFormat="1" ht="35.25" customHeight="1"/>
    <row r="832" s="1" customFormat="1" ht="35.25" customHeight="1"/>
    <row r="833" s="1" customFormat="1" ht="35.25" customHeight="1"/>
    <row r="834" s="1" customFormat="1" ht="35.25" customHeight="1"/>
    <row r="835" s="1" customFormat="1" ht="35.25" customHeight="1"/>
    <row r="836" s="1" customFormat="1" ht="35.25" customHeight="1"/>
    <row r="837" s="1" customFormat="1" ht="35.25" customHeight="1"/>
    <row r="838" s="1" customFormat="1" ht="35.25" customHeight="1"/>
    <row r="839" s="1" customFormat="1" ht="35.25" customHeight="1"/>
    <row r="840" s="1" customFormat="1" ht="35.25" customHeight="1"/>
    <row r="841" s="1" customFormat="1" ht="35.25" customHeight="1"/>
    <row r="842" s="1" customFormat="1" ht="35.25" customHeight="1"/>
    <row r="843" s="1" customFormat="1" ht="35.25" customHeight="1"/>
    <row r="844" s="1" customFormat="1" ht="35.25" customHeight="1"/>
    <row r="845" s="1" customFormat="1" ht="35.25" customHeight="1"/>
    <row r="846" s="1" customFormat="1" ht="35.25" customHeight="1"/>
    <row r="847" s="1" customFormat="1" ht="35.25" customHeight="1"/>
    <row r="848" s="1" customFormat="1" ht="35.25" customHeight="1"/>
    <row r="849" s="1" customFormat="1" ht="35.25" customHeight="1"/>
    <row r="850" s="1" customFormat="1" ht="35.25" customHeight="1"/>
    <row r="851" s="1" customFormat="1" ht="35.25" customHeight="1"/>
    <row r="852" s="1" customFormat="1" ht="35.25" customHeight="1"/>
    <row r="853" s="1" customFormat="1" ht="35.25" customHeight="1"/>
    <row r="854" s="1" customFormat="1" ht="35.25" customHeight="1"/>
    <row r="855" s="1" customFormat="1" ht="35.25" customHeight="1"/>
    <row r="856" s="1" customFormat="1" ht="35.25" customHeight="1"/>
    <row r="857" s="1" customFormat="1" ht="35.25" customHeight="1"/>
    <row r="858" s="1" customFormat="1" ht="35.25" customHeight="1"/>
    <row r="859" s="1" customFormat="1" ht="35.25" customHeight="1"/>
    <row r="860" s="1" customFormat="1" ht="35.25" customHeight="1"/>
    <row r="861" s="1" customFormat="1" ht="35.25" customHeight="1"/>
    <row r="862" s="1" customFormat="1" ht="35.25" customHeight="1"/>
    <row r="863" s="1" customFormat="1" ht="35.25" customHeight="1"/>
    <row r="864" s="1" customFormat="1" ht="35.25" customHeight="1"/>
    <row r="865" s="1" customFormat="1" ht="35.25" customHeight="1"/>
    <row r="866" s="1" customFormat="1" ht="35.25" customHeight="1"/>
    <row r="867" s="1" customFormat="1" ht="35.25" customHeight="1"/>
    <row r="868" s="1" customFormat="1" ht="35.25" customHeight="1"/>
    <row r="869" s="1" customFormat="1" ht="35.25" customHeight="1"/>
    <row r="870" s="1" customFormat="1" ht="35.25" customHeight="1"/>
    <row r="871" s="1" customFormat="1" ht="35.25" customHeight="1"/>
    <row r="872" s="1" customFormat="1" ht="35.25" customHeight="1"/>
    <row r="873" s="1" customFormat="1" ht="35.25" customHeight="1"/>
    <row r="874" s="1" customFormat="1" ht="35.25" customHeight="1"/>
    <row r="875" s="1" customFormat="1" ht="35.25" customHeight="1"/>
    <row r="876" s="1" customFormat="1" ht="35.25" customHeight="1"/>
    <row r="877" s="1" customFormat="1" ht="35.25" customHeight="1"/>
    <row r="878" s="1" customFormat="1" ht="35.25" customHeight="1"/>
    <row r="879" s="1" customFormat="1" ht="35.25" customHeight="1"/>
    <row r="880" s="1" customFormat="1" ht="35.25" customHeight="1"/>
    <row r="881" s="1" customFormat="1" ht="35.25" customHeight="1"/>
    <row r="882" s="1" customFormat="1" ht="35.25" customHeight="1"/>
    <row r="883" s="1" customFormat="1" ht="35.25" customHeight="1"/>
    <row r="884" s="1" customFormat="1" ht="35.25" customHeight="1"/>
    <row r="885" s="1" customFormat="1" ht="35.25" customHeight="1"/>
    <row r="886" s="1" customFormat="1" ht="35.25" customHeight="1"/>
    <row r="887" s="1" customFormat="1" ht="35.25" customHeight="1"/>
    <row r="888" s="1" customFormat="1" ht="35.25" customHeight="1"/>
    <row r="889" s="1" customFormat="1" ht="35.25" customHeight="1"/>
    <row r="890" s="1" customFormat="1" ht="35.25" customHeight="1"/>
    <row r="891" s="1" customFormat="1" ht="35.25" customHeight="1"/>
    <row r="892" s="1" customFormat="1" ht="35.25" customHeight="1"/>
    <row r="893" s="1" customFormat="1" ht="35.25" customHeight="1"/>
    <row r="894" s="1" customFormat="1" ht="35.25" customHeight="1"/>
    <row r="895" s="1" customFormat="1" ht="35.25" customHeight="1"/>
    <row r="896" s="1" customFormat="1" ht="35.25" customHeight="1"/>
    <row r="897" s="1" customFormat="1" ht="35.25" customHeight="1"/>
    <row r="898" s="1" customFormat="1" ht="35.25" customHeight="1"/>
    <row r="899" s="1" customFormat="1" ht="35.25" customHeight="1"/>
    <row r="900" s="1" customFormat="1" ht="35.25" customHeight="1"/>
    <row r="901" s="1" customFormat="1" ht="35.25" customHeight="1"/>
    <row r="902" s="1" customFormat="1" ht="35.25" customHeight="1"/>
    <row r="903" s="1" customFormat="1" ht="35.25" customHeight="1"/>
    <row r="904" s="1" customFormat="1" ht="35.25" customHeight="1"/>
    <row r="905" s="1" customFormat="1" ht="35.25" customHeight="1"/>
    <row r="906" s="1" customFormat="1" ht="35.25" customHeight="1"/>
    <row r="907" s="1" customFormat="1" ht="35.25" customHeight="1"/>
    <row r="908" s="1" customFormat="1" ht="35.25" customHeight="1"/>
    <row r="909" s="1" customFormat="1" ht="35.25" customHeight="1"/>
    <row r="910" s="1" customFormat="1" ht="35.25" customHeight="1"/>
    <row r="911" s="1" customFormat="1" ht="35.25" customHeight="1"/>
    <row r="912" s="1" customFormat="1" ht="35.25" customHeight="1"/>
    <row r="913" s="1" customFormat="1" ht="35.25" customHeight="1"/>
    <row r="914" s="1" customFormat="1" ht="35.25" customHeight="1"/>
    <row r="915" s="1" customFormat="1" ht="35.25" customHeight="1"/>
    <row r="916" s="1" customFormat="1" ht="35.25" customHeight="1"/>
    <row r="917" s="1" customFormat="1" ht="35.25" customHeight="1"/>
    <row r="918" s="1" customFormat="1" ht="35.25" customHeight="1"/>
    <row r="919" s="1" customFormat="1" ht="35.25" customHeight="1"/>
    <row r="920" s="1" customFormat="1" ht="35.25" customHeight="1"/>
    <row r="921" s="1" customFormat="1" ht="35.25" customHeight="1"/>
    <row r="922" s="1" customFormat="1" ht="35.25" customHeight="1"/>
    <row r="923" s="1" customFormat="1" ht="35.25" customHeight="1"/>
    <row r="924" s="1" customFormat="1" ht="35.25" customHeight="1"/>
    <row r="925" s="1" customFormat="1" ht="35.25" customHeight="1"/>
    <row r="926" s="1" customFormat="1" ht="35.25" customHeight="1"/>
    <row r="927" s="1" customFormat="1" ht="35.25" customHeight="1"/>
    <row r="928" s="1" customFormat="1" ht="35.25" customHeight="1"/>
    <row r="929" s="1" customFormat="1" ht="35.25" customHeight="1"/>
    <row r="930" s="1" customFormat="1" ht="35.25" customHeight="1"/>
    <row r="931" s="1" customFormat="1" ht="35.25" customHeight="1"/>
    <row r="932" s="1" customFormat="1" ht="35.25" customHeight="1"/>
    <row r="933" s="1" customFormat="1" ht="35.25" customHeight="1"/>
    <row r="934" s="1" customFormat="1" ht="35.25" customHeight="1"/>
    <row r="935" s="1" customFormat="1" ht="35.25" customHeight="1"/>
    <row r="936" s="1" customFormat="1" ht="35.25" customHeight="1"/>
    <row r="937" s="1" customFormat="1" ht="35.25" customHeight="1"/>
    <row r="938" s="1" customFormat="1" ht="35.25" customHeight="1"/>
    <row r="939" s="1" customFormat="1" ht="35.25" customHeight="1"/>
    <row r="940" s="1" customFormat="1" ht="35.25" customHeight="1"/>
    <row r="941" s="1" customFormat="1" ht="35.25" customHeight="1"/>
    <row r="942" s="1" customFormat="1" ht="35.25" customHeight="1"/>
    <row r="943" s="1" customFormat="1" ht="35.25" customHeight="1"/>
    <row r="944" s="1" customFormat="1" ht="35.25" customHeight="1"/>
    <row r="945" s="1" customFormat="1" ht="35.25" customHeight="1"/>
    <row r="946" s="1" customFormat="1" ht="35.25" customHeight="1"/>
    <row r="947" s="1" customFormat="1" ht="35.25" customHeight="1"/>
    <row r="948" s="1" customFormat="1" ht="35.25" customHeight="1"/>
    <row r="949" s="1" customFormat="1" ht="35.25" customHeight="1"/>
    <row r="950" s="1" customFormat="1" ht="35.25" customHeight="1"/>
    <row r="951" s="1" customFormat="1" ht="35.25" customHeight="1"/>
    <row r="952" s="1" customFormat="1" ht="35.25" customHeight="1"/>
    <row r="953" s="1" customFormat="1" ht="35.25" customHeight="1"/>
    <row r="954" s="1" customFormat="1" ht="35.25" customHeight="1"/>
    <row r="955" s="1" customFormat="1" ht="35.25" customHeight="1"/>
    <row r="956" s="1" customFormat="1" ht="35.25" customHeight="1"/>
    <row r="957" s="1" customFormat="1" ht="35.25" customHeight="1"/>
    <row r="958" s="1" customFormat="1" ht="35.25" customHeight="1"/>
    <row r="959" s="1" customFormat="1" ht="35.25" customHeight="1"/>
    <row r="960" s="1" customFormat="1" ht="35.25" customHeight="1"/>
    <row r="961" s="1" customFormat="1" ht="35.25" customHeight="1"/>
    <row r="962" s="1" customFormat="1" ht="35.25" customHeight="1"/>
    <row r="963" s="1" customFormat="1" ht="35.25" customHeight="1"/>
    <row r="964" s="1" customFormat="1" ht="35.25" customHeight="1"/>
    <row r="965" s="1" customFormat="1" ht="35.25" customHeight="1"/>
    <row r="966" s="1" customFormat="1" ht="35.25" customHeight="1"/>
    <row r="967" s="1" customFormat="1" ht="35.25" customHeight="1"/>
    <row r="968" s="1" customFormat="1" ht="35.25" customHeight="1"/>
    <row r="969" s="1" customFormat="1" ht="35.25" customHeight="1"/>
    <row r="970" s="1" customFormat="1" ht="35.25" customHeight="1"/>
    <row r="971" s="1" customFormat="1" ht="35.25" customHeight="1"/>
    <row r="972" s="1" customFormat="1" ht="35.25" customHeight="1"/>
    <row r="973" s="1" customFormat="1" ht="35.25" customHeight="1"/>
    <row r="974" s="1" customFormat="1" ht="35.25" customHeight="1"/>
    <row r="975" s="1" customFormat="1" ht="35.25" customHeight="1"/>
    <row r="976" s="1" customFormat="1" ht="35.25" customHeight="1"/>
    <row r="977" s="1" customFormat="1" ht="35.25" customHeight="1"/>
    <row r="978" s="1" customFormat="1" ht="35.25" customHeight="1"/>
    <row r="979" s="1" customFormat="1" ht="35.25" customHeight="1"/>
    <row r="980" s="1" customFormat="1" ht="35.25" customHeight="1"/>
    <row r="981" s="1" customFormat="1" ht="35.25" customHeight="1"/>
    <row r="982" s="1" customFormat="1" ht="35.25" customHeight="1"/>
    <row r="983" s="1" customFormat="1" ht="35.25" customHeight="1"/>
    <row r="984" s="1" customFormat="1" ht="35.25" customHeight="1"/>
    <row r="985" s="1" customFormat="1" ht="35.25" customHeight="1"/>
    <row r="986" s="1" customFormat="1" ht="35.25" customHeight="1"/>
    <row r="987" s="1" customFormat="1" ht="35.25" customHeight="1"/>
    <row r="988" s="1" customFormat="1" ht="35.25" customHeight="1"/>
    <row r="989" s="1" customFormat="1" ht="35.25" customHeight="1"/>
    <row r="990" s="1" customFormat="1" ht="35.25" customHeight="1"/>
    <row r="991" s="1" customFormat="1" ht="35.25" customHeight="1"/>
    <row r="992" s="1" customFormat="1" ht="35.25" customHeight="1"/>
    <row r="993" s="1" customFormat="1" ht="35.25" customHeight="1"/>
    <row r="994" s="1" customFormat="1" ht="35.25" customHeight="1"/>
    <row r="995" s="1" customFormat="1" ht="35.25" customHeight="1"/>
    <row r="996" s="1" customFormat="1" ht="35.25" customHeight="1"/>
    <row r="997" s="1" customFormat="1" ht="35.25" customHeight="1"/>
    <row r="998" s="1" customFormat="1" ht="35.25" customHeight="1"/>
    <row r="999" s="1" customFormat="1" ht="35.25" customHeight="1"/>
    <row r="1000" s="1" customFormat="1" ht="35.25" customHeight="1"/>
    <row r="1001" s="1" customFormat="1" ht="35.25" customHeight="1"/>
    <row r="1002" s="1" customFormat="1" ht="35.25" customHeight="1"/>
    <row r="1003" s="1" customFormat="1" ht="35.25" customHeight="1"/>
    <row r="1004" s="1" customFormat="1" ht="35.25" customHeight="1"/>
    <row r="1005" s="1" customFormat="1" ht="35.25" customHeight="1"/>
    <row r="1006" s="1" customFormat="1" ht="35.25" customHeight="1"/>
    <row r="1007" s="1" customFormat="1" ht="35.25" customHeight="1"/>
    <row r="1008" s="1" customFormat="1" ht="35.25" customHeight="1"/>
    <row r="1009" s="1" customFormat="1" ht="35.25" customHeight="1"/>
    <row r="1010" s="1" customFormat="1" ht="35.25" customHeight="1"/>
    <row r="1011" s="1" customFormat="1" ht="35.25" customHeight="1"/>
    <row r="1012" s="1" customFormat="1" ht="35.25" customHeight="1"/>
    <row r="1013" s="1" customFormat="1" ht="35.25" customHeight="1"/>
    <row r="1014" s="1" customFormat="1" ht="35.25" customHeight="1"/>
    <row r="1015" s="1" customFormat="1" ht="35.25" customHeight="1"/>
    <row r="1016" s="1" customFormat="1" ht="35.25" customHeight="1"/>
    <row r="1017" s="1" customFormat="1" ht="35.25" customHeight="1"/>
    <row r="1018" s="1" customFormat="1" ht="35.25" customHeight="1"/>
    <row r="1019" s="1" customFormat="1" ht="35.25" customHeight="1"/>
    <row r="1020" s="1" customFormat="1" ht="35.25" customHeight="1"/>
    <row r="1021" s="1" customFormat="1" ht="35.25" customHeight="1"/>
    <row r="1022" s="1" customFormat="1" ht="35.25" customHeight="1"/>
    <row r="1023" s="1" customFormat="1" ht="35.25" customHeight="1"/>
    <row r="1024" s="1" customFormat="1" ht="35.25" customHeight="1"/>
    <row r="1025" s="1" customFormat="1" ht="35.25" customHeight="1"/>
    <row r="1026" s="1" customFormat="1" ht="35.25" customHeight="1"/>
    <row r="1027" s="1" customFormat="1" ht="35.25" customHeight="1"/>
    <row r="1028" s="1" customFormat="1" ht="35.25" customHeight="1"/>
    <row r="1029" s="1" customFormat="1" ht="35.25" customHeight="1"/>
    <row r="1030" s="1" customFormat="1" ht="35.25" customHeight="1"/>
    <row r="1031" s="1" customFormat="1" ht="35.25" customHeight="1"/>
    <row r="1032" s="1" customFormat="1" ht="35.25" customHeight="1"/>
    <row r="1033" s="1" customFormat="1" ht="35.25" customHeight="1"/>
    <row r="1034" s="1" customFormat="1" ht="35.25" customHeight="1"/>
    <row r="1035" s="1" customFormat="1" ht="35.25" customHeight="1"/>
    <row r="1036" s="1" customFormat="1" ht="35.25" customHeight="1"/>
    <row r="1037" s="1" customFormat="1" ht="35.25" customHeight="1"/>
    <row r="1038" s="1" customFormat="1" ht="35.25" customHeight="1"/>
    <row r="1039" s="1" customFormat="1" ht="35.25" customHeight="1"/>
    <row r="1040" s="1" customFormat="1" ht="35.25" customHeight="1"/>
    <row r="1041" s="1" customFormat="1" ht="35.25" customHeight="1"/>
    <row r="1042" s="1" customFormat="1" ht="35.25" customHeight="1"/>
    <row r="1043" s="1" customFormat="1" ht="35.25" customHeight="1"/>
    <row r="1044" s="1" customFormat="1" ht="35.25" customHeight="1"/>
    <row r="1045" s="1" customFormat="1" ht="35.25" customHeight="1"/>
    <row r="1046" s="1" customFormat="1" ht="35.25" customHeight="1"/>
    <row r="1047" s="1" customFormat="1" ht="35.25" customHeight="1"/>
    <row r="1048" s="1" customFormat="1" ht="35.25" customHeight="1"/>
    <row r="1049" s="1" customFormat="1" ht="35.25" customHeight="1"/>
    <row r="1050" s="1" customFormat="1" ht="35.25" customHeight="1"/>
    <row r="1051" s="1" customFormat="1" ht="35.25" customHeight="1"/>
    <row r="1052" s="1" customFormat="1" ht="35.25" customHeight="1"/>
    <row r="1053" s="1" customFormat="1" ht="35.25" customHeight="1"/>
    <row r="1054" s="1" customFormat="1" ht="35.25" customHeight="1"/>
    <row r="1055" s="1" customFormat="1" ht="35.25" customHeight="1"/>
    <row r="1056" s="1" customFormat="1" ht="35.25" customHeight="1"/>
    <row r="1057" s="1" customFormat="1" ht="35.25" customHeight="1"/>
    <row r="1058" s="1" customFormat="1" ht="35.25" customHeight="1"/>
    <row r="1059" s="1" customFormat="1" ht="35.25" customHeight="1"/>
    <row r="1060" s="1" customFormat="1" ht="35.25" customHeight="1"/>
    <row r="1061" s="1" customFormat="1" ht="35.25" customHeight="1"/>
    <row r="1062" s="1" customFormat="1" ht="35.25" customHeight="1"/>
    <row r="1063" s="1" customFormat="1" ht="35.25" customHeight="1"/>
    <row r="1064" s="1" customFormat="1" ht="35.25" customHeight="1"/>
    <row r="1065" s="1" customFormat="1" ht="35.25" customHeight="1"/>
    <row r="1066" s="1" customFormat="1" ht="35.25" customHeight="1"/>
    <row r="1067" s="1" customFormat="1" ht="35.25" customHeight="1"/>
    <row r="1068" s="1" customFormat="1" ht="35.25" customHeight="1"/>
    <row r="1069" s="1" customFormat="1" ht="35.25" customHeight="1"/>
    <row r="1070" s="1" customFormat="1" ht="35.25" customHeight="1"/>
    <row r="1071" s="1" customFormat="1" ht="35.25" customHeight="1"/>
    <row r="1072" s="1" customFormat="1" ht="35.25" customHeight="1"/>
    <row r="1073" s="1" customFormat="1" ht="35.25" customHeight="1"/>
    <row r="1074" s="1" customFormat="1" ht="35.25" customHeight="1"/>
    <row r="1075" s="1" customFormat="1" ht="35.25" customHeight="1"/>
    <row r="1076" s="1" customFormat="1" ht="35.25" customHeight="1"/>
    <row r="1077" s="1" customFormat="1" ht="35.25" customHeight="1"/>
    <row r="1078" s="1" customFormat="1" ht="35.25" customHeight="1"/>
    <row r="1079" s="1" customFormat="1" ht="35.25" customHeight="1"/>
    <row r="1080" s="1" customFormat="1" ht="35.25" customHeight="1"/>
    <row r="1081" s="1" customFormat="1" ht="35.25" customHeight="1"/>
    <row r="1082" s="1" customFormat="1" ht="35.25" customHeight="1"/>
    <row r="1083" s="1" customFormat="1" ht="35.25" customHeight="1"/>
    <row r="1084" s="1" customFormat="1" ht="35.25" customHeight="1"/>
    <row r="1085" s="1" customFormat="1" ht="35.25" customHeight="1"/>
    <row r="1086" s="1" customFormat="1" ht="35.25" customHeight="1"/>
    <row r="1087" s="1" customFormat="1" ht="35.25" customHeight="1"/>
    <row r="1088" s="1" customFormat="1" ht="35.25" customHeight="1"/>
    <row r="1089" s="1" customFormat="1" ht="35.25" customHeight="1"/>
    <row r="1090" s="1" customFormat="1" ht="35.25" customHeight="1"/>
    <row r="1091" s="1" customFormat="1" ht="35.25" customHeight="1"/>
    <row r="1092" s="1" customFormat="1" ht="35.25" customHeight="1"/>
    <row r="1093" s="1" customFormat="1" ht="35.25" customHeight="1"/>
    <row r="1094" s="1" customFormat="1" ht="35.25" customHeight="1"/>
    <row r="1095" s="1" customFormat="1" ht="35.25" customHeight="1"/>
    <row r="1096" s="1" customFormat="1" ht="35.25" customHeight="1"/>
    <row r="1097" s="1" customFormat="1" ht="35.25" customHeight="1"/>
    <row r="1098" s="1" customFormat="1" ht="35.25" customHeight="1"/>
    <row r="1099" s="1" customFormat="1" ht="35.25" customHeight="1"/>
    <row r="1100" s="1" customFormat="1" ht="35.25" customHeight="1"/>
    <row r="1101" s="1" customFormat="1" ht="35.25" customHeight="1"/>
    <row r="1102" s="1" customFormat="1" ht="35.25" customHeight="1"/>
    <row r="1103" s="1" customFormat="1" ht="35.25" customHeight="1"/>
    <row r="1104" s="1" customFormat="1" ht="35.25" customHeight="1"/>
    <row r="1105" s="1" customFormat="1" ht="35.25" customHeight="1"/>
    <row r="1106" s="1" customFormat="1" ht="35.25" customHeight="1"/>
    <row r="1107" s="1" customFormat="1" ht="35.25" customHeight="1"/>
    <row r="1108" s="1" customFormat="1" ht="35.25" customHeight="1"/>
    <row r="1109" s="1" customFormat="1" ht="35.25" customHeight="1"/>
    <row r="1110" s="1" customFormat="1" ht="35.25" customHeight="1"/>
    <row r="1111" s="1" customFormat="1" ht="35.25" customHeight="1"/>
    <row r="1112" s="1" customFormat="1" ht="35.25" customHeight="1"/>
    <row r="1113" s="1" customFormat="1" ht="35.25" customHeight="1"/>
    <row r="1114" s="1" customFormat="1" ht="35.25" customHeight="1"/>
    <row r="1115" s="1" customFormat="1" ht="35.25" customHeight="1"/>
    <row r="1116" s="1" customFormat="1" ht="35.25" customHeight="1"/>
    <row r="1117" s="1" customFormat="1" ht="35.25" customHeight="1"/>
    <row r="1118" s="1" customFormat="1" ht="35.25" customHeight="1"/>
    <row r="1119" s="1" customFormat="1" ht="35.25" customHeight="1"/>
    <row r="1120" s="1" customFormat="1" ht="35.25" customHeight="1"/>
    <row r="1121" s="1" customFormat="1" ht="35.25" customHeight="1"/>
    <row r="1122" s="1" customFormat="1" ht="35.25" customHeight="1"/>
    <row r="1123" s="1" customFormat="1" ht="35.25" customHeight="1"/>
    <row r="1124" s="1" customFormat="1" ht="35.25" customHeight="1"/>
    <row r="1125" s="1" customFormat="1" ht="35.25" customHeight="1"/>
    <row r="1126" s="1" customFormat="1" ht="35.25" customHeight="1"/>
    <row r="1127" s="1" customFormat="1" ht="35.25" customHeight="1"/>
    <row r="1128" s="1" customFormat="1" ht="35.25" customHeight="1"/>
    <row r="1129" s="1" customFormat="1" ht="35.25" customHeight="1"/>
    <row r="1130" s="1" customFormat="1" ht="35.25" customHeight="1"/>
    <row r="1131" s="1" customFormat="1" ht="35.25" customHeight="1"/>
    <row r="1132" s="1" customFormat="1" ht="35.25" customHeight="1"/>
    <row r="1133" s="1" customFormat="1" ht="35.25" customHeight="1"/>
    <row r="1134" s="1" customFormat="1" ht="35.25" customHeight="1"/>
    <row r="1135" s="1" customFormat="1" ht="35.25" customHeight="1"/>
    <row r="1136" s="1" customFormat="1" ht="35.25" customHeight="1"/>
    <row r="1137" s="1" customFormat="1" ht="35.25" customHeight="1"/>
    <row r="1138" s="1" customFormat="1" ht="35.25" customHeight="1"/>
    <row r="1139" s="1" customFormat="1" ht="35.25" customHeight="1"/>
    <row r="1140" s="1" customFormat="1" ht="35.25" customHeight="1"/>
    <row r="1141" s="1" customFormat="1" ht="35.25" customHeight="1"/>
    <row r="1142" s="1" customFormat="1" ht="35.25" customHeight="1"/>
    <row r="1143" s="1" customFormat="1" ht="35.25" customHeight="1"/>
    <row r="1144" s="1" customFormat="1" ht="35.25" customHeight="1"/>
    <row r="1145" s="1" customFormat="1" ht="35.25" customHeight="1"/>
    <row r="1146" s="1" customFormat="1" ht="35.25" customHeight="1"/>
    <row r="1147" s="1" customFormat="1" ht="35.25" customHeight="1"/>
    <row r="1148" s="1" customFormat="1" ht="35.25" customHeight="1"/>
    <row r="1149" s="1" customFormat="1" ht="35.25" customHeight="1"/>
    <row r="1150" s="1" customFormat="1" ht="35.25" customHeight="1"/>
    <row r="1151" s="1" customFormat="1" ht="35.25" customHeight="1"/>
    <row r="1152" s="1" customFormat="1" ht="35.25" customHeight="1"/>
    <row r="1153" s="1" customFormat="1" ht="35.25" customHeight="1"/>
    <row r="1154" s="1" customFormat="1" ht="35.25" customHeight="1"/>
    <row r="1155" s="1" customFormat="1" ht="35.25" customHeight="1"/>
    <row r="1156" s="1" customFormat="1" ht="35.25" customHeight="1"/>
    <row r="1157" s="1" customFormat="1" ht="35.25" customHeight="1"/>
    <row r="1158" s="1" customFormat="1" ht="35.25" customHeight="1"/>
    <row r="1159" s="1" customFormat="1" ht="35.25" customHeight="1"/>
    <row r="1160" s="1" customFormat="1" ht="35.25" customHeight="1"/>
    <row r="1161" s="1" customFormat="1" ht="35.25" customHeight="1"/>
    <row r="1162" s="1" customFormat="1" ht="35.25" customHeight="1"/>
    <row r="1163" s="1" customFormat="1" ht="35.25" customHeight="1"/>
    <row r="1164" s="1" customFormat="1" ht="35.25" customHeight="1"/>
    <row r="1165" s="1" customFormat="1" ht="35.25" customHeight="1"/>
    <row r="1166" s="1" customFormat="1" ht="35.25" customHeight="1"/>
    <row r="1167" s="1" customFormat="1" ht="35.25" customHeight="1"/>
    <row r="1168" s="1" customFormat="1" ht="35.25" customHeight="1"/>
    <row r="1169" s="1" customFormat="1" ht="35.25" customHeight="1"/>
    <row r="1170" s="1" customFormat="1" ht="35.25" customHeight="1"/>
    <row r="1171" s="1" customFormat="1" ht="35.25" customHeight="1"/>
    <row r="1172" s="1" customFormat="1" ht="35.25" customHeight="1"/>
    <row r="1173" s="1" customFormat="1" ht="35.25" customHeight="1"/>
    <row r="1174" s="1" customFormat="1" ht="35.25" customHeight="1"/>
    <row r="1175" s="1" customFormat="1" ht="35.25" customHeight="1"/>
    <row r="1176" s="1" customFormat="1" ht="35.25" customHeight="1"/>
    <row r="1177" s="1" customFormat="1" ht="35.25" customHeight="1"/>
    <row r="1178" s="1" customFormat="1" ht="35.25" customHeight="1"/>
    <row r="1179" s="1" customFormat="1" ht="35.25" customHeight="1"/>
    <row r="1180" s="1" customFormat="1" ht="35.25" customHeight="1"/>
    <row r="1181" s="1" customFormat="1" ht="35.25" customHeight="1"/>
    <row r="1182" s="1" customFormat="1" ht="35.25" customHeight="1"/>
    <row r="1183" s="1" customFormat="1" ht="35.25" customHeight="1"/>
    <row r="1184" s="1" customFormat="1" ht="35.25" customHeight="1"/>
    <row r="1185" s="1" customFormat="1" ht="35.25" customHeight="1"/>
    <row r="1186" s="1" customFormat="1" ht="35.25" customHeight="1"/>
    <row r="1187" s="1" customFormat="1" ht="35.25" customHeight="1"/>
    <row r="1188" s="1" customFormat="1" ht="35.25" customHeight="1"/>
    <row r="1189" s="1" customFormat="1" ht="35.25" customHeight="1"/>
    <row r="1190" s="1" customFormat="1" ht="35.25" customHeight="1"/>
    <row r="1191" s="1" customFormat="1" ht="35.25" customHeight="1"/>
    <row r="1192" s="1" customFormat="1" ht="35.25" customHeight="1"/>
    <row r="1193" s="1" customFormat="1" ht="35.25" customHeight="1"/>
    <row r="1194" s="1" customFormat="1" ht="35.25" customHeight="1"/>
    <row r="1195" s="1" customFormat="1" ht="35.25" customHeight="1"/>
    <row r="1196" s="1" customFormat="1" ht="35.25" customHeight="1"/>
    <row r="1197" s="1" customFormat="1" ht="35.25" customHeight="1"/>
    <row r="1198" s="1" customFormat="1" ht="35.25" customHeight="1"/>
    <row r="1199" s="1" customFormat="1" ht="35.25" customHeight="1"/>
    <row r="1200" s="1" customFormat="1" ht="35.25" customHeight="1"/>
    <row r="1201" s="1" customFormat="1" ht="35.25" customHeight="1"/>
    <row r="1202" s="1" customFormat="1" ht="35.25" customHeight="1"/>
    <row r="1203" s="1" customFormat="1" ht="35.25" customHeight="1"/>
    <row r="1204" s="1" customFormat="1" ht="35.25" customHeight="1"/>
    <row r="1205" s="1" customFormat="1" ht="35.25" customHeight="1"/>
    <row r="1206" s="1" customFormat="1" ht="35.25" customHeight="1"/>
    <row r="1207" s="1" customFormat="1" ht="35.25" customHeight="1"/>
    <row r="1208" s="1" customFormat="1" ht="35.25" customHeight="1"/>
    <row r="1209" s="1" customFormat="1" ht="35.25" customHeight="1"/>
    <row r="1210" s="1" customFormat="1" ht="35.25" customHeight="1"/>
    <row r="1211" s="1" customFormat="1" ht="35.25" customHeight="1"/>
    <row r="1212" s="1" customFormat="1" ht="35.25" customHeight="1"/>
    <row r="1213" s="1" customFormat="1" ht="35.25" customHeight="1"/>
    <row r="1214" s="1" customFormat="1" ht="35.25" customHeight="1"/>
    <row r="1215" s="1" customFormat="1" ht="35.25" customHeight="1"/>
    <row r="1216" s="1" customFormat="1" ht="35.25" customHeight="1"/>
    <row r="1217" s="1" customFormat="1" ht="35.25" customHeight="1"/>
    <row r="1218" s="1" customFormat="1" ht="35.25" customHeight="1"/>
    <row r="1219" s="1" customFormat="1" ht="35.25" customHeight="1"/>
    <row r="1220" s="1" customFormat="1" ht="35.25" customHeight="1"/>
    <row r="1221" s="1" customFormat="1" ht="35.25" customHeight="1"/>
    <row r="1222" s="1" customFormat="1" ht="35.25" customHeight="1"/>
    <row r="1223" s="1" customFormat="1" ht="35.25" customHeight="1"/>
    <row r="1224" s="1" customFormat="1" ht="35.25" customHeight="1"/>
    <row r="1225" s="1" customFormat="1" ht="35.25" customHeight="1"/>
    <row r="1226" s="1" customFormat="1" ht="35.25" customHeight="1"/>
    <row r="1227" s="1" customFormat="1" ht="35.25" customHeight="1"/>
    <row r="1228" s="1" customFormat="1" ht="35.25" customHeight="1"/>
    <row r="1229" s="1" customFormat="1" ht="35.25" customHeight="1"/>
    <row r="1230" s="1" customFormat="1" ht="35.25" customHeight="1"/>
    <row r="1231" s="1" customFormat="1" ht="35.25" customHeight="1"/>
    <row r="1232" s="1" customFormat="1" ht="35.25" customHeight="1"/>
    <row r="1233" s="1" customFormat="1" ht="35.25" customHeight="1"/>
    <row r="1234" s="1" customFormat="1" ht="35.25" customHeight="1"/>
    <row r="1235" s="1" customFormat="1" ht="35.25" customHeight="1"/>
    <row r="1236" s="1" customFormat="1" ht="35.25" customHeight="1"/>
    <row r="1237" s="1" customFormat="1" ht="35.25" customHeight="1"/>
    <row r="1238" s="1" customFormat="1" ht="35.25" customHeight="1"/>
    <row r="1239" s="1" customFormat="1" ht="35.25" customHeight="1"/>
    <row r="1240" s="1" customFormat="1" ht="35.25" customHeight="1"/>
    <row r="1241" s="1" customFormat="1" ht="35.25" customHeight="1"/>
    <row r="1242" s="1" customFormat="1" ht="35.25" customHeight="1"/>
    <row r="1243" s="1" customFormat="1" ht="35.25" customHeight="1"/>
    <row r="1244" s="1" customFormat="1" ht="35.25" customHeight="1"/>
    <row r="1245" s="1" customFormat="1" ht="35.25" customHeight="1"/>
    <row r="1246" s="1" customFormat="1" ht="35.25" customHeight="1"/>
    <row r="1247" s="1" customFormat="1" ht="35.25" customHeight="1"/>
    <row r="1248" s="1" customFormat="1" ht="35.25" customHeight="1"/>
    <row r="1249" s="1" customFormat="1" ht="35.25" customHeight="1"/>
    <row r="1250" s="1" customFormat="1" ht="35.25" customHeight="1"/>
    <row r="1251" s="1" customFormat="1" ht="35.25" customHeight="1"/>
    <row r="1252" s="1" customFormat="1" ht="35.25" customHeight="1"/>
    <row r="1253" s="1" customFormat="1" ht="35.25" customHeight="1"/>
    <row r="1254" s="1" customFormat="1" ht="35.25" customHeight="1"/>
    <row r="1255" s="1" customFormat="1" ht="35.25" customHeight="1"/>
    <row r="1256" s="1" customFormat="1" ht="35.25" customHeight="1"/>
    <row r="1257" s="1" customFormat="1" ht="35.25" customHeight="1"/>
    <row r="1258" s="1" customFormat="1" ht="35.25" customHeight="1"/>
    <row r="1259" s="1" customFormat="1" ht="35.25" customHeight="1"/>
    <row r="1260" s="1" customFormat="1" ht="35.25" customHeight="1"/>
    <row r="1261" s="1" customFormat="1" ht="35.25" customHeight="1"/>
    <row r="1262" s="1" customFormat="1" ht="35.25" customHeight="1"/>
    <row r="1263" s="1" customFormat="1" ht="35.25" customHeight="1"/>
    <row r="1264" s="1" customFormat="1" ht="35.25" customHeight="1"/>
    <row r="1265" s="1" customFormat="1" ht="35.25" customHeight="1"/>
    <row r="1266" s="1" customFormat="1" ht="35.25" customHeight="1"/>
    <row r="1267" s="1" customFormat="1" ht="35.25" customHeight="1"/>
    <row r="1268" s="1" customFormat="1" ht="35.25" customHeight="1"/>
    <row r="1269" s="1" customFormat="1" ht="35.25" customHeight="1"/>
    <row r="1270" s="1" customFormat="1" ht="35.25" customHeight="1"/>
    <row r="1271" s="1" customFormat="1" ht="35.25" customHeight="1"/>
    <row r="1272" s="1" customFormat="1" ht="35.25" customHeight="1"/>
    <row r="1273" s="1" customFormat="1" ht="35.25" customHeight="1"/>
    <row r="1274" s="1" customFormat="1" ht="35.25" customHeight="1"/>
    <row r="1275" s="1" customFormat="1" ht="35.25" customHeight="1"/>
    <row r="1276" s="1" customFormat="1" ht="35.25" customHeight="1"/>
    <row r="1277" s="1" customFormat="1" ht="35.25" customHeight="1"/>
    <row r="1278" s="1" customFormat="1" ht="35.25" customHeight="1"/>
    <row r="1279" s="1" customFormat="1" ht="35.25" customHeight="1"/>
    <row r="1280" s="1" customFormat="1" ht="35.25" customHeight="1"/>
    <row r="1281" s="1" customFormat="1" ht="35.25" customHeight="1"/>
    <row r="1282" s="1" customFormat="1" ht="35.25" customHeight="1"/>
    <row r="1283" s="1" customFormat="1" ht="35.25" customHeight="1"/>
    <row r="1284" s="1" customFormat="1" ht="35.25" customHeight="1"/>
    <row r="1285" s="1" customFormat="1" ht="35.25" customHeight="1"/>
    <row r="1286" s="1" customFormat="1" ht="35.25" customHeight="1"/>
    <row r="1287" s="1" customFormat="1" ht="35.25" customHeight="1"/>
    <row r="1288" s="1" customFormat="1" ht="35.25" customHeight="1"/>
    <row r="1289" s="1" customFormat="1" ht="35.25" customHeight="1"/>
    <row r="1290" s="1" customFormat="1" ht="35.25" customHeight="1"/>
    <row r="1291" s="1" customFormat="1" ht="35.25" customHeight="1"/>
    <row r="1292" s="1" customFormat="1" ht="35.25" customHeight="1"/>
    <row r="1293" s="1" customFormat="1" ht="35.25" customHeight="1"/>
    <row r="1294" s="1" customFormat="1" ht="35.25" customHeight="1"/>
    <row r="1295" s="1" customFormat="1" ht="35.25" customHeight="1"/>
    <row r="1296" s="1" customFormat="1" ht="35.25" customHeight="1"/>
    <row r="1297" s="1" customFormat="1" ht="35.25" customHeight="1"/>
    <row r="1298" s="1" customFormat="1" ht="35.25" customHeight="1"/>
    <row r="1299" s="1" customFormat="1" ht="35.25" customHeight="1"/>
    <row r="1300" s="1" customFormat="1" ht="35.25" customHeight="1"/>
    <row r="1301" s="1" customFormat="1" ht="35.25" customHeight="1"/>
    <row r="1302" s="1" customFormat="1" ht="35.25" customHeight="1"/>
    <row r="1303" s="1" customFormat="1" ht="35.25" customHeight="1"/>
    <row r="1304" s="1" customFormat="1" ht="35.25" customHeight="1"/>
    <row r="1305" s="1" customFormat="1" ht="35.25" customHeight="1"/>
    <row r="1306" s="1" customFormat="1" ht="35.25" customHeight="1"/>
    <row r="1307" s="1" customFormat="1" ht="35.25" customHeight="1"/>
    <row r="1308" s="1" customFormat="1" ht="35.25" customHeight="1"/>
    <row r="1309" s="1" customFormat="1" ht="35.25" customHeight="1"/>
    <row r="1310" s="1" customFormat="1" ht="35.25" customHeight="1"/>
    <row r="1311" s="1" customFormat="1" ht="35.25" customHeight="1"/>
    <row r="1312" s="1" customFormat="1" ht="35.25" customHeight="1"/>
    <row r="1313" s="1" customFormat="1" ht="35.25" customHeight="1"/>
    <row r="1314" s="1" customFormat="1" ht="35.25" customHeight="1"/>
    <row r="1315" s="1" customFormat="1" ht="35.25" customHeight="1"/>
    <row r="1316" s="1" customFormat="1" ht="35.25" customHeight="1"/>
    <row r="1317" s="1" customFormat="1" ht="35.25" customHeight="1"/>
    <row r="1318" s="1" customFormat="1" ht="35.25" customHeight="1"/>
    <row r="1319" s="1" customFormat="1" ht="35.25" customHeight="1"/>
    <row r="1320" s="1" customFormat="1" ht="35.25" customHeight="1"/>
    <row r="1321" s="1" customFormat="1" ht="35.25" customHeight="1"/>
    <row r="1322" s="1" customFormat="1" ht="35.25" customHeight="1"/>
    <row r="1323" s="1" customFormat="1" ht="35.25" customHeight="1"/>
    <row r="1324" s="1" customFormat="1" ht="35.25" customHeight="1"/>
    <row r="1325" s="1" customFormat="1" ht="35.25" customHeight="1"/>
    <row r="1326" s="1" customFormat="1" ht="35.25" customHeight="1"/>
    <row r="1327" s="1" customFormat="1" ht="35.25" customHeight="1"/>
    <row r="1328" s="1" customFormat="1" ht="35.25" customHeight="1"/>
    <row r="1329" s="1" customFormat="1" ht="35.25" customHeight="1"/>
    <row r="1330" s="1" customFormat="1" ht="35.25" customHeight="1"/>
    <row r="1331" s="1" customFormat="1" ht="35.25" customHeight="1"/>
    <row r="1332" s="1" customFormat="1" ht="35.25" customHeight="1"/>
    <row r="1333" s="1" customFormat="1" ht="35.25" customHeight="1"/>
    <row r="1334" s="1" customFormat="1" ht="35.25" customHeight="1"/>
    <row r="1335" s="1" customFormat="1" ht="35.25" customHeight="1"/>
    <row r="1336" s="1" customFormat="1" ht="35.25" customHeight="1"/>
    <row r="1337" s="1" customFormat="1" ht="35.25" customHeight="1"/>
    <row r="1338" s="1" customFormat="1" ht="35.25" customHeight="1"/>
    <row r="1339" s="1" customFormat="1" ht="35.25" customHeight="1"/>
    <row r="1340" s="1" customFormat="1" ht="35.25" customHeight="1"/>
    <row r="1341" s="1" customFormat="1" ht="35.25" customHeight="1"/>
    <row r="1342" s="1" customFormat="1" ht="35.25" customHeight="1"/>
    <row r="1343" s="1" customFormat="1" ht="35.25" customHeight="1"/>
    <row r="1344" s="1" customFormat="1" ht="35.25" customHeight="1"/>
    <row r="1345" s="1" customFormat="1" ht="35.25" customHeight="1"/>
    <row r="1346" s="1" customFormat="1" ht="35.25" customHeight="1"/>
    <row r="1347" s="1" customFormat="1" ht="35.25" customHeight="1"/>
    <row r="1348" s="1" customFormat="1" ht="35.25" customHeight="1"/>
    <row r="1349" s="1" customFormat="1" ht="35.25" customHeight="1"/>
    <row r="1350" s="1" customFormat="1" ht="35.25" customHeight="1"/>
    <row r="1351" s="1" customFormat="1" ht="35.25" customHeight="1"/>
    <row r="1352" s="1" customFormat="1" ht="35.25" customHeight="1"/>
    <row r="1353" s="1" customFormat="1" ht="35.25" customHeight="1"/>
    <row r="1354" s="1" customFormat="1" ht="35.25" customHeight="1"/>
    <row r="1355" s="1" customFormat="1" ht="35.25" customHeight="1"/>
    <row r="1356" s="1" customFormat="1" ht="35.25" customHeight="1"/>
    <row r="1357" s="1" customFormat="1" ht="35.25" customHeight="1"/>
    <row r="1358" s="1" customFormat="1" ht="35.25" customHeight="1"/>
    <row r="1359" s="1" customFormat="1" ht="35.25" customHeight="1"/>
    <row r="1360" s="1" customFormat="1" ht="35.25" customHeight="1"/>
    <row r="1361" s="1" customFormat="1" ht="35.25" customHeight="1"/>
    <row r="1362" s="1" customFormat="1" ht="35.25" customHeight="1"/>
    <row r="1363" s="1" customFormat="1" ht="35.25" customHeight="1"/>
    <row r="1364" s="1" customFormat="1" ht="35.25" customHeight="1"/>
    <row r="1365" s="1" customFormat="1" ht="35.25" customHeight="1"/>
    <row r="1366" s="1" customFormat="1" ht="35.25" customHeight="1"/>
    <row r="1367" s="1" customFormat="1" ht="35.25" customHeight="1"/>
    <row r="1368" s="1" customFormat="1" ht="35.25" customHeight="1"/>
    <row r="1369" s="1" customFormat="1" ht="35.25" customHeight="1"/>
    <row r="1370" s="1" customFormat="1" ht="35.25" customHeight="1"/>
    <row r="1371" s="1" customFormat="1" ht="35.25" customHeight="1"/>
    <row r="1372" s="1" customFormat="1" ht="35.25" customHeight="1"/>
    <row r="1373" s="1" customFormat="1" ht="35.25" customHeight="1"/>
    <row r="1374" s="1" customFormat="1" ht="35.25" customHeight="1"/>
    <row r="1375" s="1" customFormat="1" ht="35.25" customHeight="1"/>
    <row r="1376" s="1" customFormat="1" ht="35.25" customHeight="1"/>
    <row r="1377" s="1" customFormat="1" ht="35.25" customHeight="1"/>
    <row r="1378" s="1" customFormat="1" ht="35.25" customHeight="1"/>
    <row r="1379" s="1" customFormat="1" ht="35.25" customHeight="1"/>
    <row r="1380" s="1" customFormat="1" ht="35.25" customHeight="1"/>
    <row r="1381" s="1" customFormat="1" ht="35.25" customHeight="1"/>
    <row r="1382" s="1" customFormat="1" ht="35.25" customHeight="1"/>
    <row r="1383" s="1" customFormat="1" ht="35.25" customHeight="1"/>
    <row r="1384" s="1" customFormat="1" ht="35.25" customHeight="1"/>
    <row r="1385" s="1" customFormat="1" ht="35.25" customHeight="1"/>
    <row r="1386" s="1" customFormat="1" ht="35.25" customHeight="1"/>
    <row r="1387" s="1" customFormat="1" ht="35.25" customHeight="1"/>
    <row r="1388" s="1" customFormat="1" ht="35.25" customHeight="1"/>
    <row r="1389" s="1" customFormat="1" ht="35.25" customHeight="1"/>
    <row r="1390" s="1" customFormat="1" ht="35.25" customHeight="1"/>
    <row r="1391" s="1" customFormat="1" ht="35.25" customHeight="1"/>
    <row r="1392" s="1" customFormat="1" ht="35.25" customHeight="1"/>
    <row r="1393" s="1" customFormat="1" ht="35.25" customHeight="1"/>
    <row r="1394" s="1" customFormat="1" ht="35.25" customHeight="1"/>
    <row r="1395" s="1" customFormat="1" ht="35.25" customHeight="1"/>
    <row r="1396" s="1" customFormat="1" ht="35.25" customHeight="1"/>
    <row r="1397" s="1" customFormat="1" ht="35.25" customHeight="1"/>
    <row r="1398" s="1" customFormat="1" ht="35.25" customHeight="1"/>
    <row r="1399" s="1" customFormat="1" ht="35.25" customHeight="1"/>
    <row r="1400" s="1" customFormat="1" ht="35.25" customHeight="1"/>
    <row r="1401" s="1" customFormat="1" ht="35.25" customHeight="1"/>
    <row r="1402" s="1" customFormat="1" ht="35.25" customHeight="1"/>
    <row r="1403" s="1" customFormat="1" ht="35.25" customHeight="1"/>
    <row r="1404" s="1" customFormat="1" ht="35.25" customHeight="1"/>
    <row r="1405" s="1" customFormat="1" ht="35.25" customHeight="1"/>
    <row r="1406" s="1" customFormat="1" ht="35.25" customHeight="1"/>
    <row r="1407" s="1" customFormat="1" ht="35.25" customHeight="1"/>
    <row r="1408" s="1" customFormat="1" ht="35.25" customHeight="1"/>
    <row r="1409" s="1" customFormat="1" ht="35.25" customHeight="1"/>
    <row r="1410" s="1" customFormat="1" ht="35.25" customHeight="1"/>
    <row r="1411" s="1" customFormat="1" ht="35.25" customHeight="1"/>
    <row r="1412" s="1" customFormat="1" ht="35.25" customHeight="1"/>
    <row r="1413" s="1" customFormat="1" ht="35.25" customHeight="1"/>
    <row r="1414" s="1" customFormat="1" ht="35.25" customHeight="1"/>
    <row r="1415" s="1" customFormat="1" ht="35.25" customHeight="1"/>
    <row r="1416" s="1" customFormat="1" ht="35.25" customHeight="1"/>
    <row r="1417" s="1" customFormat="1" ht="35.25" customHeight="1"/>
    <row r="1418" s="1" customFormat="1" ht="35.25" customHeight="1"/>
    <row r="1419" s="1" customFormat="1" ht="35.25" customHeight="1"/>
    <row r="1420" s="1" customFormat="1" ht="35.25" customHeight="1"/>
    <row r="1421" s="1" customFormat="1" ht="35.25" customHeight="1"/>
    <row r="1422" s="1" customFormat="1" ht="35.25" customHeight="1"/>
    <row r="1423" s="1" customFormat="1" ht="35.25" customHeight="1"/>
    <row r="1424" s="1" customFormat="1" ht="35.25" customHeight="1"/>
    <row r="1425" s="1" customFormat="1" ht="35.25" customHeight="1"/>
    <row r="1426" s="1" customFormat="1" ht="35.25" customHeight="1"/>
    <row r="1427" s="1" customFormat="1" ht="35.25" customHeight="1"/>
    <row r="1428" s="1" customFormat="1" ht="35.25" customHeight="1"/>
    <row r="1429" s="1" customFormat="1" ht="35.25" customHeight="1"/>
    <row r="1430" s="1" customFormat="1" ht="35.25" customHeight="1"/>
    <row r="1431" s="1" customFormat="1" ht="35.25" customHeight="1"/>
    <row r="1432" s="1" customFormat="1" ht="35.25" customHeight="1"/>
    <row r="1433" s="1" customFormat="1" ht="35.25" customHeight="1"/>
    <row r="1434" s="1" customFormat="1" ht="35.25" customHeight="1"/>
    <row r="1435" s="1" customFormat="1" ht="35.25" customHeight="1"/>
    <row r="1436" s="1" customFormat="1" ht="35.25" customHeight="1"/>
    <row r="1437" s="1" customFormat="1" ht="35.25" customHeight="1"/>
    <row r="1438" s="1" customFormat="1" ht="35.25" customHeight="1"/>
    <row r="1439" s="1" customFormat="1" ht="35.25" customHeight="1"/>
    <row r="1440" s="1" customFormat="1" ht="35.25" customHeight="1"/>
    <row r="1441" s="1" customFormat="1" ht="35.25" customHeight="1"/>
    <row r="1442" s="1" customFormat="1" ht="35.25" customHeight="1"/>
    <row r="1443" s="1" customFormat="1" ht="35.25" customHeight="1"/>
    <row r="1444" s="1" customFormat="1" ht="35.25" customHeight="1"/>
    <row r="1445" s="1" customFormat="1" ht="35.25" customHeight="1"/>
    <row r="1446" s="1" customFormat="1" ht="35.25" customHeight="1"/>
    <row r="1447" s="1" customFormat="1" ht="35.25" customHeight="1"/>
    <row r="1448" s="1" customFormat="1" ht="35.25" customHeight="1"/>
    <row r="1449" s="1" customFormat="1" ht="35.25" customHeight="1"/>
    <row r="1450" s="1" customFormat="1" ht="35.25" customHeight="1"/>
    <row r="1451" s="1" customFormat="1" ht="35.25" customHeight="1"/>
    <row r="1452" s="1" customFormat="1" ht="35.25" customHeight="1"/>
    <row r="1453" s="1" customFormat="1" ht="35.25" customHeight="1"/>
    <row r="1454" s="1" customFormat="1" ht="35.25" customHeight="1"/>
    <row r="1455" s="1" customFormat="1" ht="35.25" customHeight="1"/>
    <row r="1456" s="1" customFormat="1" ht="35.25" customHeight="1"/>
    <row r="1457" s="1" customFormat="1" ht="35.25" customHeight="1"/>
    <row r="1458" s="1" customFormat="1" ht="35.25" customHeight="1"/>
    <row r="1459" s="1" customFormat="1" ht="35.25" customHeight="1"/>
    <row r="1460" s="1" customFormat="1" ht="35.25" customHeight="1"/>
    <row r="1461" s="1" customFormat="1" ht="35.25" customHeight="1"/>
    <row r="1462" s="1" customFormat="1" ht="35.25" customHeight="1"/>
    <row r="1463" s="1" customFormat="1" ht="35.25" customHeight="1"/>
    <row r="1464" s="1" customFormat="1" ht="35.25" customHeight="1"/>
    <row r="1465" s="1" customFormat="1" ht="35.25" customHeight="1"/>
    <row r="1466" s="1" customFormat="1" ht="35.25" customHeight="1"/>
    <row r="1467" s="1" customFormat="1" ht="35.25" customHeight="1"/>
    <row r="1468" s="1" customFormat="1" ht="35.25" customHeight="1"/>
    <row r="1469" s="1" customFormat="1" ht="35.25" customHeight="1"/>
    <row r="1470" s="1" customFormat="1" ht="35.25" customHeight="1"/>
    <row r="1471" s="1" customFormat="1" ht="35.25" customHeight="1"/>
    <row r="1472" s="1" customFormat="1" ht="35.25" customHeight="1"/>
    <row r="1473" s="1" customFormat="1" ht="35.25" customHeight="1"/>
    <row r="1474" s="1" customFormat="1" ht="35.25" customHeight="1"/>
    <row r="1475" s="1" customFormat="1" ht="35.25" customHeight="1"/>
    <row r="1476" s="1" customFormat="1" ht="35.25" customHeight="1"/>
    <row r="1477" s="1" customFormat="1" ht="35.25" customHeight="1"/>
    <row r="1478" s="1" customFormat="1" ht="35.25" customHeight="1"/>
    <row r="1479" s="1" customFormat="1" ht="35.25" customHeight="1"/>
    <row r="1480" s="1" customFormat="1" ht="35.25" customHeight="1"/>
    <row r="1481" s="1" customFormat="1" ht="35.25" customHeight="1"/>
    <row r="1482" s="1" customFormat="1" ht="35.25" customHeight="1"/>
    <row r="1483" s="1" customFormat="1" ht="35.25" customHeight="1"/>
    <row r="1484" s="1" customFormat="1" ht="35.25" customHeight="1"/>
    <row r="1485" s="1" customFormat="1" ht="35.25" customHeight="1"/>
    <row r="1486" s="1" customFormat="1" ht="35.25" customHeight="1"/>
    <row r="1487" s="1" customFormat="1" ht="35.25" customHeight="1"/>
    <row r="1488" s="1" customFormat="1" ht="35.25" customHeight="1"/>
    <row r="1489" s="1" customFormat="1" ht="35.25" customHeight="1"/>
    <row r="1490" s="1" customFormat="1" ht="35.25" customHeight="1"/>
    <row r="1491" s="1" customFormat="1" ht="35.25" customHeight="1"/>
    <row r="1492" s="1" customFormat="1" ht="35.25" customHeight="1"/>
    <row r="1493" s="1" customFormat="1" ht="35.25" customHeight="1"/>
    <row r="1494" s="1" customFormat="1" ht="35.25" customHeight="1"/>
    <row r="1495" s="1" customFormat="1" ht="35.25" customHeight="1"/>
    <row r="1496" s="1" customFormat="1" ht="35.25" customHeight="1"/>
    <row r="1497" s="1" customFormat="1" ht="35.25" customHeight="1"/>
    <row r="1498" s="1" customFormat="1" ht="35.25" customHeight="1"/>
    <row r="1499" s="1" customFormat="1" ht="35.25" customHeight="1"/>
    <row r="1500" s="1" customFormat="1" ht="35.25" customHeight="1"/>
    <row r="1501" s="1" customFormat="1" ht="35.25" customHeight="1"/>
    <row r="1502" s="1" customFormat="1" ht="35.25" customHeight="1"/>
    <row r="1503" s="1" customFormat="1" ht="35.25" customHeight="1"/>
    <row r="1504" s="1" customFormat="1" ht="35.25" customHeight="1"/>
    <row r="1505" s="1" customFormat="1" ht="35.25" customHeight="1"/>
    <row r="1506" s="1" customFormat="1" ht="35.25" customHeight="1"/>
    <row r="1507" s="1" customFormat="1" ht="35.25" customHeight="1"/>
    <row r="1508" s="1" customFormat="1" ht="35.25" customHeight="1"/>
    <row r="1509" s="1" customFormat="1" ht="35.25" customHeight="1"/>
    <row r="1510" s="1" customFormat="1" ht="35.25" customHeight="1"/>
    <row r="1511" s="1" customFormat="1" ht="35.25" customHeight="1"/>
    <row r="1512" s="1" customFormat="1" ht="35.25" customHeight="1"/>
    <row r="1513" s="1" customFormat="1" ht="35.25" customHeight="1"/>
    <row r="1514" s="1" customFormat="1" ht="35.25" customHeight="1"/>
    <row r="1515" s="1" customFormat="1" ht="35.25" customHeight="1"/>
    <row r="1516" s="1" customFormat="1" ht="35.25" customHeight="1"/>
    <row r="1517" s="1" customFormat="1" ht="35.25" customHeight="1"/>
    <row r="1518" s="1" customFormat="1" ht="35.25" customHeight="1"/>
    <row r="1519" s="1" customFormat="1" ht="35.25" customHeight="1"/>
    <row r="1520" s="1" customFormat="1" ht="35.25" customHeight="1"/>
    <row r="1521" s="1" customFormat="1" ht="35.25" customHeight="1"/>
    <row r="1522" s="1" customFormat="1" ht="35.25" customHeight="1"/>
    <row r="1523" s="1" customFormat="1" ht="35.25" customHeight="1"/>
    <row r="1524" s="1" customFormat="1" ht="35.25" customHeight="1"/>
    <row r="1525" s="1" customFormat="1" ht="35.25" customHeight="1"/>
    <row r="1526" s="1" customFormat="1" ht="35.25" customHeight="1"/>
    <row r="1527" s="1" customFormat="1" ht="35.25" customHeight="1"/>
    <row r="1528" s="1" customFormat="1" ht="35.25" customHeight="1"/>
    <row r="1529" s="1" customFormat="1" ht="35.25" customHeight="1"/>
    <row r="1530" s="1" customFormat="1" ht="35.25" customHeight="1"/>
    <row r="1531" s="1" customFormat="1" ht="35.25" customHeight="1"/>
    <row r="1532" s="1" customFormat="1" ht="35.25" customHeight="1"/>
    <row r="1533" s="1" customFormat="1" ht="35.25" customHeight="1"/>
    <row r="1534" s="1" customFormat="1" ht="35.25" customHeight="1"/>
    <row r="1535" s="1" customFormat="1" ht="35.25" customHeight="1"/>
    <row r="1536" s="1" customFormat="1" ht="35.25" customHeight="1"/>
    <row r="1537" s="1" customFormat="1" ht="35.25" customHeight="1"/>
    <row r="1538" s="1" customFormat="1" ht="35.25" customHeight="1"/>
    <row r="1539" s="1" customFormat="1" ht="35.25" customHeight="1"/>
    <row r="1540" s="1" customFormat="1" ht="35.25" customHeight="1"/>
    <row r="1541" s="1" customFormat="1" ht="35.25" customHeight="1"/>
    <row r="1542" s="1" customFormat="1" ht="35.25" customHeight="1"/>
    <row r="1543" s="1" customFormat="1" ht="35.25" customHeight="1"/>
    <row r="1544" s="1" customFormat="1" ht="35.25" customHeight="1"/>
    <row r="1545" s="1" customFormat="1" ht="35.25" customHeight="1"/>
    <row r="1546" s="1" customFormat="1" ht="35.25" customHeight="1"/>
    <row r="1547" s="1" customFormat="1" ht="35.25" customHeight="1"/>
    <row r="1548" s="1" customFormat="1" ht="35.25" customHeight="1"/>
    <row r="1549" s="1" customFormat="1" ht="35.25" customHeight="1"/>
    <row r="1550" s="1" customFormat="1" ht="35.25" customHeight="1"/>
    <row r="1551" s="1" customFormat="1" ht="35.25" customHeight="1"/>
    <row r="1552" s="1" customFormat="1" ht="35.25" customHeight="1"/>
    <row r="1553" s="1" customFormat="1" ht="35.25" customHeight="1"/>
    <row r="1554" s="1" customFormat="1" ht="35.25" customHeight="1"/>
    <row r="1555" s="1" customFormat="1" ht="35.25" customHeight="1"/>
    <row r="1556" s="1" customFormat="1" ht="35.25" customHeight="1"/>
    <row r="1557" s="1" customFormat="1" ht="35.25" customHeight="1"/>
    <row r="1558" s="1" customFormat="1" ht="35.25" customHeight="1"/>
    <row r="1559" s="1" customFormat="1" ht="35.25" customHeight="1"/>
    <row r="1560" s="1" customFormat="1" ht="35.25" customHeight="1"/>
    <row r="1561" s="1" customFormat="1" ht="35.25" customHeight="1"/>
    <row r="1562" s="1" customFormat="1" ht="35.25" customHeight="1"/>
    <row r="1563" s="1" customFormat="1" ht="35.25" customHeight="1"/>
    <row r="1564" s="1" customFormat="1" ht="35.25" customHeight="1"/>
    <row r="1565" s="1" customFormat="1" ht="35.25" customHeight="1"/>
    <row r="1566" s="1" customFormat="1" ht="35.25" customHeight="1"/>
    <row r="1567" s="1" customFormat="1" ht="35.25" customHeight="1"/>
    <row r="1568" s="1" customFormat="1" ht="35.25" customHeight="1"/>
    <row r="1569" s="1" customFormat="1" ht="35.25" customHeight="1"/>
    <row r="1570" s="1" customFormat="1" ht="35.25" customHeight="1"/>
    <row r="1571" s="1" customFormat="1" ht="35.25" customHeight="1"/>
    <row r="1572" s="1" customFormat="1" ht="35.25" customHeight="1"/>
    <row r="1573" s="1" customFormat="1" ht="35.25" customHeight="1"/>
    <row r="1574" s="1" customFormat="1" ht="35.25" customHeight="1"/>
    <row r="1575" s="1" customFormat="1" ht="35.25" customHeight="1"/>
    <row r="1576" s="1" customFormat="1" ht="35.25" customHeight="1"/>
    <row r="1577" s="1" customFormat="1" ht="35.25" customHeight="1"/>
    <row r="1578" s="1" customFormat="1" ht="35.25" customHeight="1"/>
    <row r="1579" s="1" customFormat="1" ht="35.25" customHeight="1"/>
    <row r="1580" s="1" customFormat="1" ht="35.25" customHeight="1"/>
    <row r="1581" s="1" customFormat="1" ht="35.25" customHeight="1"/>
    <row r="1582" s="1" customFormat="1" ht="35.25" customHeight="1"/>
    <row r="1583" s="1" customFormat="1" ht="35.25" customHeight="1"/>
    <row r="1584" s="1" customFormat="1" ht="35.25" customHeight="1"/>
    <row r="1585" s="1" customFormat="1" ht="35.25" customHeight="1"/>
    <row r="1586" s="1" customFormat="1" ht="35.25" customHeight="1"/>
    <row r="1587" s="1" customFormat="1" ht="35.25" customHeight="1"/>
    <row r="1588" s="1" customFormat="1" ht="35.25" customHeight="1"/>
    <row r="1589" s="1" customFormat="1" ht="35.25" customHeight="1"/>
    <row r="1590" s="1" customFormat="1" ht="35.25" customHeight="1"/>
    <row r="1591" s="1" customFormat="1" ht="35.25" customHeight="1"/>
    <row r="1592" s="1" customFormat="1" ht="35.25" customHeight="1"/>
    <row r="1593" s="1" customFormat="1" ht="35.25" customHeight="1"/>
    <row r="1594" s="1" customFormat="1" ht="35.25" customHeight="1"/>
    <row r="1595" s="1" customFormat="1" ht="35.25" customHeight="1"/>
    <row r="1596" s="1" customFormat="1" ht="35.25" customHeight="1"/>
    <row r="1597" s="1" customFormat="1" ht="35.25" customHeight="1"/>
    <row r="1598" s="1" customFormat="1" ht="35.25" customHeight="1"/>
    <row r="1599" s="1" customFormat="1" ht="35.25" customHeight="1"/>
    <row r="1600" s="1" customFormat="1" ht="35.25" customHeight="1"/>
    <row r="1601" s="1" customFormat="1" ht="35.25" customHeight="1"/>
    <row r="1602" s="1" customFormat="1" ht="35.25" customHeight="1"/>
    <row r="1603" s="1" customFormat="1" ht="35.25" customHeight="1"/>
    <row r="1604" s="1" customFormat="1" ht="35.25" customHeight="1"/>
    <row r="1605" s="1" customFormat="1" ht="35.25" customHeight="1"/>
    <row r="1606" s="1" customFormat="1" ht="35.25" customHeight="1"/>
    <row r="1607" s="1" customFormat="1" ht="35.25" customHeight="1"/>
    <row r="1608" s="1" customFormat="1" ht="35.25" customHeight="1"/>
    <row r="1609" s="1" customFormat="1" ht="35.25" customHeight="1"/>
    <row r="1610" s="1" customFormat="1" ht="35.25" customHeight="1"/>
    <row r="1611" s="1" customFormat="1" ht="35.25" customHeight="1"/>
    <row r="1612" s="1" customFormat="1" ht="35.25" customHeight="1"/>
    <row r="1613" s="1" customFormat="1" ht="35.25" customHeight="1"/>
    <row r="1614" s="1" customFormat="1" ht="35.25" customHeight="1"/>
    <row r="1615" s="1" customFormat="1" ht="35.25" customHeight="1"/>
    <row r="1616" s="1" customFormat="1" ht="35.25" customHeight="1"/>
    <row r="1617" s="1" customFormat="1" ht="35.25" customHeight="1"/>
    <row r="1618" s="1" customFormat="1" ht="35.25" customHeight="1"/>
    <row r="1619" s="1" customFormat="1" ht="35.25" customHeight="1"/>
    <row r="1620" s="1" customFormat="1" ht="35.25" customHeight="1"/>
    <row r="1621" s="1" customFormat="1" ht="35.25" customHeight="1"/>
    <row r="1622" s="1" customFormat="1" ht="35.25" customHeight="1"/>
    <row r="1623" s="1" customFormat="1" ht="35.25" customHeight="1"/>
    <row r="1624" s="1" customFormat="1" ht="35.25" customHeight="1"/>
    <row r="1625" s="1" customFormat="1" ht="35.25" customHeight="1"/>
    <row r="1626" s="1" customFormat="1" ht="35.25" customHeight="1"/>
    <row r="1627" s="1" customFormat="1" ht="35.25" customHeight="1"/>
    <row r="1628" s="1" customFormat="1" ht="35.25" customHeight="1"/>
    <row r="1629" s="1" customFormat="1" ht="35.25" customHeight="1"/>
    <row r="1630" s="1" customFormat="1" ht="35.25" customHeight="1"/>
    <row r="1631" s="1" customFormat="1" ht="35.25" customHeight="1"/>
    <row r="1632" s="1" customFormat="1" ht="35.25" customHeight="1"/>
    <row r="1633" s="1" customFormat="1" ht="35.25" customHeight="1"/>
    <row r="1634" s="1" customFormat="1" ht="35.25" customHeight="1"/>
    <row r="1635" s="1" customFormat="1" ht="35.25" customHeight="1"/>
    <row r="1636" s="1" customFormat="1" ht="35.25" customHeight="1"/>
    <row r="1637" s="1" customFormat="1" ht="35.25" customHeight="1"/>
    <row r="1638" s="1" customFormat="1" ht="35.25" customHeight="1"/>
    <row r="1639" s="1" customFormat="1" ht="35.25" customHeight="1"/>
    <row r="1640" s="1" customFormat="1" ht="35.25" customHeight="1"/>
    <row r="1641" s="1" customFormat="1" ht="35.25" customHeight="1"/>
    <row r="1642" s="1" customFormat="1" ht="35.25" customHeight="1"/>
    <row r="1643" s="1" customFormat="1" ht="35.25" customHeight="1"/>
    <row r="1644" s="1" customFormat="1" ht="35.25" customHeight="1"/>
    <row r="1645" s="1" customFormat="1" ht="35.25" customHeight="1"/>
    <row r="1646" s="1" customFormat="1" ht="35.25" customHeight="1"/>
    <row r="1647" s="1" customFormat="1" ht="35.25" customHeight="1"/>
    <row r="1648" s="1" customFormat="1" ht="35.25" customHeight="1"/>
    <row r="1649" s="1" customFormat="1" ht="35.25" customHeight="1"/>
    <row r="1650" s="1" customFormat="1" ht="35.25" customHeight="1"/>
    <row r="1651" s="1" customFormat="1" ht="35.25" customHeight="1"/>
    <row r="1652" s="1" customFormat="1" ht="35.25" customHeight="1"/>
    <row r="1653" s="1" customFormat="1" ht="35.25" customHeight="1"/>
    <row r="1654" s="1" customFormat="1" ht="35.25" customHeight="1"/>
    <row r="1655" s="1" customFormat="1" ht="35.25" customHeight="1"/>
    <row r="1656" s="1" customFormat="1" ht="35.25" customHeight="1"/>
    <row r="1657" s="1" customFormat="1" ht="35.25" customHeight="1"/>
    <row r="1658" s="1" customFormat="1" ht="35.25" customHeight="1"/>
    <row r="1659" s="1" customFormat="1" ht="35.25" customHeight="1"/>
    <row r="1660" s="1" customFormat="1" ht="35.25" customHeight="1"/>
    <row r="1661" ht="37.15" customHeight="1"/>
    <row r="1662" ht="37.15" customHeight="1"/>
    <row r="1663" ht="37.15" customHeight="1"/>
    <row r="1664" ht="37.15" customHeight="1"/>
    <row r="1665" ht="37.15" customHeight="1"/>
    <row r="1666" ht="37.15" customHeight="1"/>
    <row r="1667" ht="37.15" customHeight="1"/>
    <row r="1668" ht="37.15" customHeight="1"/>
    <row r="1669" ht="37.15" customHeight="1"/>
    <row r="1670" ht="37.15" customHeight="1"/>
    <row r="1671" ht="37.15" customHeight="1"/>
    <row r="1672" ht="37.15" customHeight="1"/>
    <row r="1673" ht="37.15" customHeight="1"/>
    <row r="1674" ht="37.15" customHeight="1"/>
    <row r="1675" ht="37.15" customHeight="1"/>
    <row r="1676" ht="37.15" customHeight="1"/>
    <row r="1677" ht="37.15" customHeight="1"/>
    <row r="1678" ht="37.15" customHeight="1"/>
    <row r="1679" ht="37.15" customHeight="1"/>
    <row r="1680" ht="37.15" customHeight="1"/>
    <row r="1681" ht="37.15" customHeight="1"/>
    <row r="1682" ht="37.15" customHeight="1"/>
    <row r="1683" ht="37.15" customHeight="1"/>
    <row r="1684" ht="37.15" customHeight="1"/>
    <row r="1685" ht="37.15" customHeight="1"/>
    <row r="1686" ht="37.15" customHeight="1"/>
    <row r="1687" ht="37.15" customHeight="1"/>
    <row r="1688" ht="37.15" customHeight="1"/>
    <row r="1689" ht="37.15" customHeight="1"/>
    <row r="1690" ht="37.15" customHeight="1"/>
    <row r="1691" ht="37.15" customHeight="1"/>
    <row r="1692" ht="37.15" customHeight="1"/>
    <row r="1693" ht="37.15" customHeight="1" spans="1:15">
      <c r="A1693" s="92"/>
      <c r="B1693" s="92"/>
      <c r="C1693" s="92"/>
      <c r="D1693" s="92"/>
      <c r="E1693" s="92"/>
      <c r="F1693" s="92"/>
      <c r="G1693" s="92"/>
      <c r="H1693" s="92"/>
      <c r="I1693" s="92"/>
      <c r="J1693" s="92"/>
      <c r="K1693" s="92"/>
      <c r="L1693" s="92"/>
      <c r="M1693" s="92"/>
      <c r="N1693" s="92"/>
      <c r="O1693" s="92"/>
    </row>
    <row r="1694" ht="37.15" customHeight="1" spans="1:15">
      <c r="A1694" s="92"/>
      <c r="B1694" s="92"/>
      <c r="C1694" s="92"/>
      <c r="D1694" s="92"/>
      <c r="E1694" s="92"/>
      <c r="F1694" s="92"/>
      <c r="G1694" s="92"/>
      <c r="H1694" s="92"/>
      <c r="I1694" s="92"/>
      <c r="J1694" s="92"/>
      <c r="K1694" s="92"/>
      <c r="L1694" s="92"/>
      <c r="M1694" s="92"/>
      <c r="N1694" s="92"/>
      <c r="O1694" s="92"/>
    </row>
    <row r="1695" ht="37.15" customHeight="1" spans="1:15">
      <c r="A1695" s="92"/>
      <c r="B1695" s="92"/>
      <c r="C1695" s="92"/>
      <c r="D1695" s="92"/>
      <c r="E1695" s="92"/>
      <c r="F1695" s="92"/>
      <c r="G1695" s="92"/>
      <c r="H1695" s="92"/>
      <c r="I1695" s="92"/>
      <c r="J1695" s="92"/>
      <c r="K1695" s="92"/>
      <c r="L1695" s="92"/>
      <c r="M1695" s="92"/>
      <c r="N1695" s="92"/>
      <c r="O1695" s="92"/>
    </row>
    <row r="1696" ht="37.15" customHeight="1"/>
    <row r="1697" ht="37.15" customHeight="1"/>
    <row r="1698" ht="37.15" customHeight="1"/>
    <row r="1699" ht="37.15" customHeight="1"/>
    <row r="1700" ht="37.15" customHeight="1"/>
    <row r="1701" ht="37.15" customHeight="1"/>
    <row r="1702" ht="37.15" customHeight="1"/>
    <row r="1703" ht="37.15" customHeight="1"/>
    <row r="1704" ht="37.15" customHeight="1"/>
    <row r="1705" ht="37.15" customHeight="1"/>
    <row r="1706" ht="37.15" customHeight="1"/>
    <row r="1707" ht="37.15" customHeight="1"/>
    <row r="1708" ht="37.15" customHeight="1"/>
    <row r="1709" ht="37.15" customHeight="1"/>
    <row r="1710" ht="37.15" customHeight="1"/>
    <row r="1711" ht="37.15" customHeight="1" spans="1:15">
      <c r="A1711" s="92"/>
      <c r="B1711" s="92"/>
      <c r="C1711" s="92"/>
      <c r="D1711" s="92"/>
      <c r="E1711" s="92"/>
      <c r="F1711" s="92"/>
      <c r="G1711" s="92"/>
      <c r="H1711" s="92"/>
      <c r="I1711" s="92"/>
      <c r="J1711" s="92"/>
      <c r="K1711" s="92"/>
      <c r="L1711" s="92"/>
      <c r="M1711" s="92"/>
      <c r="N1711" s="92"/>
      <c r="O1711" s="92"/>
    </row>
    <row r="1712" ht="37.15" customHeight="1" spans="1:15">
      <c r="A1712" s="92"/>
      <c r="B1712" s="92"/>
      <c r="C1712" s="92"/>
      <c r="D1712" s="92"/>
      <c r="E1712" s="92"/>
      <c r="F1712" s="92"/>
      <c r="G1712" s="92"/>
      <c r="H1712" s="92"/>
      <c r="I1712" s="92"/>
      <c r="J1712" s="92"/>
      <c r="K1712" s="92"/>
      <c r="L1712" s="92"/>
      <c r="M1712" s="92"/>
      <c r="N1712" s="92"/>
      <c r="O1712" s="92"/>
    </row>
    <row r="1713" ht="37.15" customHeight="1" spans="1:15">
      <c r="A1713" s="92"/>
      <c r="B1713" s="92"/>
      <c r="C1713" s="92"/>
      <c r="D1713" s="92"/>
      <c r="E1713" s="92"/>
      <c r="F1713" s="92"/>
      <c r="G1713" s="92"/>
      <c r="H1713" s="92"/>
      <c r="I1713" s="92"/>
      <c r="J1713" s="92"/>
      <c r="K1713" s="92"/>
      <c r="L1713" s="92"/>
      <c r="M1713" s="92"/>
      <c r="N1713" s="92"/>
      <c r="O1713" s="92"/>
    </row>
    <row r="1714" ht="37.15" customHeight="1"/>
    <row r="1715" ht="37.15" customHeight="1"/>
    <row r="1716" ht="37.15" customHeight="1"/>
    <row r="1717" ht="37.15" customHeight="1"/>
    <row r="1718" ht="37.15" customHeight="1"/>
    <row r="1719" ht="37.15" customHeight="1"/>
    <row r="1720" ht="37.15" customHeight="1"/>
    <row r="1721" ht="37.15" customHeight="1"/>
    <row r="1722" ht="37.15" customHeight="1"/>
    <row r="1723" ht="37.15" customHeight="1"/>
    <row r="1724" ht="37.15" customHeight="1" spans="1:15">
      <c r="A1724" s="92"/>
      <c r="B1724" s="92"/>
      <c r="C1724" s="92"/>
      <c r="D1724" s="92"/>
      <c r="E1724" s="92"/>
      <c r="F1724" s="92"/>
      <c r="G1724" s="92"/>
      <c r="H1724" s="92"/>
      <c r="I1724" s="92"/>
      <c r="J1724" s="92"/>
      <c r="K1724" s="92"/>
      <c r="L1724" s="92"/>
      <c r="M1724" s="92"/>
      <c r="N1724" s="92"/>
      <c r="O1724" s="92"/>
    </row>
    <row r="1725" ht="37.15" customHeight="1"/>
    <row r="1726" ht="37.15" customHeight="1"/>
    <row r="1727" ht="37.15" customHeight="1"/>
    <row r="1728" ht="37.15" customHeight="1"/>
    <row r="1729" ht="37.15" customHeight="1"/>
    <row r="1730" ht="37.15" customHeight="1" spans="1:15">
      <c r="A1730" s="92"/>
      <c r="B1730" s="92"/>
      <c r="C1730" s="92"/>
      <c r="D1730" s="92"/>
      <c r="E1730" s="92"/>
      <c r="F1730" s="92"/>
      <c r="G1730" s="92"/>
      <c r="H1730" s="92"/>
      <c r="I1730" s="92"/>
      <c r="J1730" s="92"/>
      <c r="K1730" s="92"/>
      <c r="L1730" s="92"/>
      <c r="M1730" s="92"/>
      <c r="N1730" s="92"/>
      <c r="O1730" s="92"/>
    </row>
    <row r="1731" ht="37.15" customHeight="1" spans="1:15">
      <c r="A1731" s="92"/>
      <c r="B1731" s="92"/>
      <c r="C1731" s="92"/>
      <c r="D1731" s="92"/>
      <c r="E1731" s="92"/>
      <c r="F1731" s="92"/>
      <c r="G1731" s="92"/>
      <c r="H1731" s="92"/>
      <c r="I1731" s="92"/>
      <c r="J1731" s="92"/>
      <c r="K1731" s="92"/>
      <c r="L1731" s="92"/>
      <c r="M1731" s="92"/>
      <c r="N1731" s="92"/>
      <c r="O1731" s="92"/>
    </row>
    <row r="1732" ht="37.15" customHeight="1" spans="1:15">
      <c r="A1732" s="92"/>
      <c r="B1732" s="92"/>
      <c r="C1732" s="92"/>
      <c r="D1732" s="92"/>
      <c r="E1732" s="92"/>
      <c r="F1732" s="92"/>
      <c r="G1732" s="92"/>
      <c r="H1732" s="92"/>
      <c r="I1732" s="92"/>
      <c r="J1732" s="92"/>
      <c r="K1732" s="92"/>
      <c r="L1732" s="92"/>
      <c r="M1732" s="92"/>
      <c r="N1732" s="92"/>
      <c r="O1732" s="92"/>
    </row>
    <row r="1733" ht="37.15" customHeight="1" spans="1:15">
      <c r="A1733" s="92"/>
      <c r="B1733" s="92"/>
      <c r="C1733" s="92"/>
      <c r="D1733" s="92"/>
      <c r="E1733" s="92"/>
      <c r="F1733" s="92"/>
      <c r="G1733" s="92"/>
      <c r="H1733" s="92"/>
      <c r="I1733" s="92"/>
      <c r="J1733" s="92"/>
      <c r="K1733" s="92"/>
      <c r="L1733" s="92"/>
      <c r="M1733" s="92"/>
      <c r="N1733" s="92"/>
      <c r="O1733" s="92"/>
    </row>
    <row r="1734" ht="37.15" customHeight="1" spans="1:15">
      <c r="A1734" s="92"/>
      <c r="B1734" s="92"/>
      <c r="C1734" s="92"/>
      <c r="D1734" s="92"/>
      <c r="E1734" s="92"/>
      <c r="F1734" s="92"/>
      <c r="G1734" s="92"/>
      <c r="H1734" s="92"/>
      <c r="I1734" s="92"/>
      <c r="J1734" s="92"/>
      <c r="K1734" s="92"/>
      <c r="L1734" s="92"/>
      <c r="M1734" s="92"/>
      <c r="N1734" s="92"/>
      <c r="O1734" s="92"/>
    </row>
    <row r="1735" ht="37.15" customHeight="1"/>
    <row r="1736" ht="37.15" customHeight="1"/>
    <row r="1737" ht="37.15" customHeight="1"/>
    <row r="1738" ht="37.15" customHeight="1"/>
    <row r="1739" ht="37.15" customHeight="1"/>
    <row r="1740" ht="37.15" customHeight="1"/>
    <row r="1741" ht="37.15" customHeight="1"/>
    <row r="1742" ht="37.15" customHeight="1" spans="1:15">
      <c r="A1742" s="92"/>
      <c r="B1742" s="92"/>
      <c r="C1742" s="92"/>
      <c r="D1742" s="92"/>
      <c r="E1742" s="92"/>
      <c r="F1742" s="92"/>
      <c r="G1742" s="92"/>
      <c r="H1742" s="92"/>
      <c r="I1742" s="92"/>
      <c r="J1742" s="92"/>
      <c r="K1742" s="92"/>
      <c r="L1742" s="92"/>
      <c r="M1742" s="92"/>
      <c r="N1742" s="92"/>
      <c r="O1742" s="92"/>
    </row>
    <row r="1743" ht="37.15" customHeight="1" spans="1:15">
      <c r="A1743" s="92"/>
      <c r="B1743" s="92"/>
      <c r="C1743" s="92"/>
      <c r="D1743" s="92"/>
      <c r="E1743" s="92"/>
      <c r="F1743" s="92"/>
      <c r="G1743" s="92"/>
      <c r="H1743" s="92"/>
      <c r="I1743" s="92"/>
      <c r="J1743" s="92"/>
      <c r="K1743" s="92"/>
      <c r="L1743" s="92"/>
      <c r="M1743" s="92"/>
      <c r="N1743" s="92"/>
      <c r="O1743" s="92"/>
    </row>
    <row r="1744" ht="37.15" customHeight="1" spans="1:15">
      <c r="A1744" s="92"/>
      <c r="B1744" s="92"/>
      <c r="C1744" s="92"/>
      <c r="D1744" s="92"/>
      <c r="E1744" s="92"/>
      <c r="F1744" s="92"/>
      <c r="G1744" s="92"/>
      <c r="H1744" s="92"/>
      <c r="I1744" s="92"/>
      <c r="J1744" s="92"/>
      <c r="K1744" s="92"/>
      <c r="L1744" s="92"/>
      <c r="M1744" s="92"/>
      <c r="N1744" s="92"/>
      <c r="O1744" s="92"/>
    </row>
    <row r="1745" ht="37.15" customHeight="1" spans="1:15">
      <c r="A1745" s="92"/>
      <c r="B1745" s="92"/>
      <c r="C1745" s="92"/>
      <c r="D1745" s="92"/>
      <c r="E1745" s="92"/>
      <c r="F1745" s="92"/>
      <c r="G1745" s="92"/>
      <c r="H1745" s="92"/>
      <c r="I1745" s="92"/>
      <c r="J1745" s="92"/>
      <c r="K1745" s="92"/>
      <c r="L1745" s="92"/>
      <c r="M1745" s="92"/>
      <c r="N1745" s="92"/>
      <c r="O1745" s="92"/>
    </row>
    <row r="1746" ht="37.15" customHeight="1"/>
    <row r="1747" ht="37.15" customHeight="1"/>
    <row r="1748" ht="37.15" customHeight="1"/>
    <row r="1749" ht="37.15" customHeight="1"/>
    <row r="1750" ht="37.15" customHeight="1"/>
    <row r="1751" ht="37.15" customHeight="1"/>
    <row r="1752" ht="37.15" customHeight="1" spans="1:15">
      <c r="A1752" s="92"/>
      <c r="B1752" s="92"/>
      <c r="C1752" s="92"/>
      <c r="D1752" s="92"/>
      <c r="E1752" s="92"/>
      <c r="F1752" s="92"/>
      <c r="G1752" s="92"/>
      <c r="H1752" s="92"/>
      <c r="I1752" s="92"/>
      <c r="J1752" s="92"/>
      <c r="K1752" s="92"/>
      <c r="L1752" s="92"/>
      <c r="M1752" s="92"/>
      <c r="N1752" s="92"/>
      <c r="O1752" s="92"/>
    </row>
    <row r="1753" ht="37.15" customHeight="1" spans="1:15">
      <c r="A1753" s="92"/>
      <c r="B1753" s="92"/>
      <c r="C1753" s="92"/>
      <c r="D1753" s="92"/>
      <c r="E1753" s="92"/>
      <c r="F1753" s="92"/>
      <c r="G1753" s="92"/>
      <c r="H1753" s="92"/>
      <c r="I1753" s="92"/>
      <c r="J1753" s="92"/>
      <c r="K1753" s="92"/>
      <c r="L1753" s="92"/>
      <c r="M1753" s="92"/>
      <c r="N1753" s="92"/>
      <c r="O1753" s="92"/>
    </row>
    <row r="1754" ht="37.15" customHeight="1" spans="1:15">
      <c r="A1754" s="92"/>
      <c r="B1754" s="92"/>
      <c r="C1754" s="92"/>
      <c r="D1754" s="92"/>
      <c r="E1754" s="92"/>
      <c r="F1754" s="92"/>
      <c r="G1754" s="92"/>
      <c r="H1754" s="92"/>
      <c r="I1754" s="92"/>
      <c r="J1754" s="92"/>
      <c r="K1754" s="92"/>
      <c r="L1754" s="92"/>
      <c r="M1754" s="92"/>
      <c r="N1754" s="92"/>
      <c r="O1754" s="92"/>
    </row>
    <row r="1755" ht="37.15" customHeight="1"/>
    <row r="1756" ht="37.15" customHeight="1"/>
    <row r="1757" ht="37.15" customHeight="1"/>
    <row r="1758" ht="37.15" customHeight="1"/>
    <row r="1759" ht="37.15" customHeight="1"/>
    <row r="1760" ht="37.15" customHeight="1"/>
    <row r="1761" ht="37.15" customHeight="1"/>
    <row r="1762" ht="37.15" customHeight="1"/>
    <row r="1763" ht="37.15" customHeight="1"/>
    <row r="1764" ht="37.15" customHeight="1" spans="1:15">
      <c r="A1764" s="92"/>
      <c r="B1764" s="92"/>
      <c r="C1764" s="92"/>
      <c r="D1764" s="92"/>
      <c r="E1764" s="92"/>
      <c r="F1764" s="92"/>
      <c r="G1764" s="92"/>
      <c r="H1764" s="92"/>
      <c r="I1764" s="92"/>
      <c r="J1764" s="92"/>
      <c r="K1764" s="92"/>
      <c r="L1764" s="92"/>
      <c r="M1764" s="92"/>
      <c r="N1764" s="92"/>
      <c r="O1764" s="92"/>
    </row>
    <row r="1765" ht="37.15" customHeight="1" spans="1:15">
      <c r="A1765" s="92"/>
      <c r="B1765" s="92"/>
      <c r="C1765" s="92"/>
      <c r="D1765" s="92"/>
      <c r="E1765" s="92"/>
      <c r="F1765" s="92"/>
      <c r="G1765" s="92"/>
      <c r="H1765" s="92"/>
      <c r="I1765" s="92"/>
      <c r="J1765" s="92"/>
      <c r="K1765" s="92"/>
      <c r="L1765" s="92"/>
      <c r="M1765" s="92"/>
      <c r="N1765" s="92"/>
      <c r="O1765" s="92"/>
    </row>
    <row r="1766" ht="37.15" customHeight="1" spans="1:15">
      <c r="A1766" s="92"/>
      <c r="B1766" s="92"/>
      <c r="C1766" s="92"/>
      <c r="D1766" s="92"/>
      <c r="E1766" s="92"/>
      <c r="F1766" s="92"/>
      <c r="G1766" s="92"/>
      <c r="H1766" s="92"/>
      <c r="I1766" s="92"/>
      <c r="J1766" s="92"/>
      <c r="K1766" s="92"/>
      <c r="L1766" s="92"/>
      <c r="M1766" s="92"/>
      <c r="N1766" s="92"/>
      <c r="O1766" s="92"/>
    </row>
    <row r="1767" ht="37.15" customHeight="1" spans="1:15">
      <c r="A1767" s="92"/>
      <c r="B1767" s="92"/>
      <c r="C1767" s="92"/>
      <c r="D1767" s="92"/>
      <c r="E1767" s="92"/>
      <c r="F1767" s="92"/>
      <c r="G1767" s="92"/>
      <c r="H1767" s="92"/>
      <c r="I1767" s="92"/>
      <c r="J1767" s="92"/>
      <c r="K1767" s="92"/>
      <c r="L1767" s="92"/>
      <c r="M1767" s="92"/>
      <c r="N1767" s="92"/>
      <c r="O1767" s="92"/>
    </row>
    <row r="1768" ht="37.15" customHeight="1" spans="1:15">
      <c r="A1768" s="92"/>
      <c r="B1768" s="92"/>
      <c r="C1768" s="92"/>
      <c r="D1768" s="92"/>
      <c r="E1768" s="92"/>
      <c r="F1768" s="92"/>
      <c r="G1768" s="92"/>
      <c r="H1768" s="92"/>
      <c r="I1768" s="92"/>
      <c r="J1768" s="92"/>
      <c r="K1768" s="92"/>
      <c r="L1768" s="92"/>
      <c r="M1768" s="92"/>
      <c r="N1768" s="92"/>
      <c r="O1768" s="92"/>
    </row>
    <row r="1769" ht="37.15" customHeight="1" spans="1:15">
      <c r="A1769" s="92"/>
      <c r="B1769" s="92"/>
      <c r="C1769" s="92"/>
      <c r="D1769" s="92"/>
      <c r="E1769" s="92"/>
      <c r="F1769" s="92"/>
      <c r="G1769" s="92"/>
      <c r="H1769" s="92"/>
      <c r="I1769" s="92"/>
      <c r="J1769" s="92"/>
      <c r="K1769" s="92"/>
      <c r="L1769" s="92"/>
      <c r="M1769" s="92"/>
      <c r="N1769" s="92"/>
      <c r="O1769" s="92"/>
    </row>
    <row r="1770" ht="37.15" customHeight="1"/>
    <row r="1771" ht="37.15" customHeight="1" spans="1:15">
      <c r="A1771" s="92"/>
      <c r="B1771" s="92"/>
      <c r="C1771" s="92"/>
      <c r="D1771" s="92"/>
      <c r="E1771" s="92"/>
      <c r="F1771" s="92"/>
      <c r="G1771" s="92"/>
      <c r="H1771" s="92"/>
      <c r="I1771" s="92"/>
      <c r="J1771" s="92"/>
      <c r="K1771" s="92"/>
      <c r="L1771" s="92"/>
      <c r="M1771" s="92"/>
      <c r="N1771" s="92"/>
      <c r="O1771" s="92"/>
    </row>
    <row r="1772" ht="37.15" customHeight="1" spans="1:18">
      <c r="A1772">
        <v>4</v>
      </c>
      <c r="B1772" t="s">
        <v>89</v>
      </c>
      <c r="C1772">
        <v>6166559923</v>
      </c>
      <c r="D1772">
        <v>32</v>
      </c>
      <c r="E1772">
        <v>4</v>
      </c>
      <c r="F1772">
        <v>13</v>
      </c>
      <c r="G1772" t="s">
        <v>90</v>
      </c>
      <c r="H1772" t="s">
        <v>91</v>
      </c>
      <c r="I1772" t="s">
        <v>92</v>
      </c>
      <c r="J1772" t="s">
        <v>93</v>
      </c>
      <c r="K1772" s="216">
        <v>45903</v>
      </c>
      <c r="L1772" t="s">
        <v>94</v>
      </c>
      <c r="M1772" t="s">
        <v>94</v>
      </c>
      <c r="N1772" t="s">
        <v>95</v>
      </c>
      <c r="O1772" t="s">
        <v>94</v>
      </c>
      <c r="P1772" t="s">
        <v>94</v>
      </c>
      <c r="Q1772" t="s">
        <v>96</v>
      </c>
      <c r="R1772" s="217">
        <v>0.560416666666667</v>
      </c>
    </row>
    <row r="1773" ht="37.15" customHeight="1" spans="2:17">
      <c r="B1773" t="s">
        <v>97</v>
      </c>
      <c r="C1773" t="s">
        <v>93</v>
      </c>
      <c r="D1773" t="s">
        <v>98</v>
      </c>
      <c r="E1773" t="s">
        <v>99</v>
      </c>
      <c r="F1773" t="s">
        <v>100</v>
      </c>
      <c r="G1773" t="s">
        <v>96</v>
      </c>
      <c r="H1773" t="s">
        <v>101</v>
      </c>
      <c r="I1773" t="s">
        <v>102</v>
      </c>
      <c r="J1773" t="s">
        <v>91</v>
      </c>
      <c r="K1773">
        <v>1</v>
      </c>
      <c r="L1773" t="s">
        <v>103</v>
      </c>
      <c r="M1773" t="s">
        <v>104</v>
      </c>
      <c r="N1773" t="s">
        <v>105</v>
      </c>
      <c r="O1773" t="s">
        <v>88</v>
      </c>
      <c r="P1773" t="s">
        <v>106</v>
      </c>
      <c r="Q1773">
        <v>33</v>
      </c>
    </row>
    <row r="1774" ht="37.15" customHeight="1" spans="2:17">
      <c r="B1774" t="s">
        <v>107</v>
      </c>
      <c r="C1774" t="s">
        <v>93</v>
      </c>
      <c r="D1774" t="s">
        <v>98</v>
      </c>
      <c r="E1774" t="s">
        <v>99</v>
      </c>
      <c r="F1774" t="s">
        <v>108</v>
      </c>
      <c r="G1774" t="s">
        <v>96</v>
      </c>
      <c r="H1774" t="s">
        <v>109</v>
      </c>
      <c r="I1774" t="s">
        <v>102</v>
      </c>
      <c r="J1774" t="s">
        <v>91</v>
      </c>
      <c r="K1774">
        <v>1</v>
      </c>
      <c r="L1774" t="s">
        <v>110</v>
      </c>
      <c r="M1774" t="s">
        <v>104</v>
      </c>
      <c r="N1774" t="s">
        <v>105</v>
      </c>
      <c r="O1774" t="s">
        <v>88</v>
      </c>
      <c r="P1774" t="s">
        <v>106</v>
      </c>
      <c r="Q1774" t="s">
        <v>111</v>
      </c>
    </row>
    <row r="1775" ht="37.15" customHeight="1"/>
    <row r="1776" ht="37.15" customHeight="1"/>
    <row r="1777" ht="37.15" customHeight="1"/>
    <row r="1778" ht="37.15" customHeight="1"/>
    <row r="1779" ht="37.15" customHeight="1"/>
    <row r="1780" ht="37.15" customHeight="1"/>
    <row r="1781" ht="37.15" customHeight="1"/>
    <row r="1782" ht="37.15" customHeight="1"/>
    <row r="1783" ht="37.15" customHeight="1"/>
    <row r="1784" ht="37.15" customHeight="1"/>
    <row r="1785" ht="37.15" customHeight="1"/>
    <row r="1786" ht="37.15" customHeight="1"/>
    <row r="1787" ht="37.15" customHeight="1"/>
    <row r="1788" ht="37.15" customHeight="1"/>
    <row r="1789" ht="37.15" customHeight="1"/>
    <row r="1790" ht="37.15" customHeight="1"/>
    <row r="1791" ht="37.15" customHeight="1"/>
  </sheetData>
  <autoFilter xmlns:etc="http://www.wps.cn/officeDocument/2017/etCustomData" ref="A1:Q304" etc:filterBottomFollowUsedRange="0">
    <extLst/>
  </autoFilter>
  <mergeCells count="15">
    <mergeCell ref="A1:O1"/>
    <mergeCell ref="E2:F2"/>
    <mergeCell ref="A2:A3"/>
    <mergeCell ref="B2:B3"/>
    <mergeCell ref="C2:C3"/>
    <mergeCell ref="D2:D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dataValidations count="6">
    <dataValidation type="list" allowBlank="1" showInputMessage="1" showErrorMessage="1" sqref="M4">
      <formula1>'Нетрогать '!#REF!</formula1>
    </dataValidation>
    <dataValidation type="list" allowBlank="1" showInputMessage="1" showErrorMessage="1" sqref="C4:C304">
      <formula1>ИТОГО!$B$7:$B$39</formula1>
    </dataValidation>
    <dataValidation type="list" allowBlank="1" showInputMessage="1" showErrorMessage="1" sqref="H4:H304">
      <formula1>'Нетрогать '!$E$4:$E$22</formula1>
    </dataValidation>
    <dataValidation type="list" allowBlank="1" showInputMessage="1" showErrorMessage="1" sqref="J4:J304">
      <formula1>'Нетрогать '!$G$4:$G$57</formula1>
    </dataValidation>
    <dataValidation type="list" allowBlank="1" showInputMessage="1" showErrorMessage="1" sqref="M5:M304">
      <formula1>'Нетрогать '!$M$4</formula1>
    </dataValidation>
    <dataValidation type="list" allowBlank="1" showInputMessage="1" showErrorMessage="1" sqref="N5:N304">
      <formula1>'Нетрогать '!$K$4:$K$6</formula1>
    </dataValidation>
  </dataValidations>
  <pageMargins left="0.39375" right="0.39375" top="0.39375" bottom="0.39375" header="0.511811023622047" footer="0.511811023622047"/>
  <pageSetup paperSize="9" scale="41" fitToHeight="0" orientation="landscape"/>
  <headerFooter/>
  <rowBreaks count="13" manualBreakCount="13">
    <brk id="75" max="24" man="1"/>
    <brk id="162" max="24" man="1"/>
    <brk id="303" max="24" man="1"/>
    <brk id="304" max="16383" man="1"/>
    <brk id="304" max="16383" man="1"/>
    <brk id="304" max="16383" man="1"/>
    <brk id="304" max="16383" man="1"/>
    <brk id="305" max="16383" man="1"/>
    <brk id="306" max="16383" man="1"/>
    <brk id="307" max="16383" man="1"/>
    <brk id="309" max="16383" man="1"/>
    <brk id="316" max="16383" man="1"/>
    <brk id="31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49"/>
  <sheetViews>
    <sheetView view="pageBreakPreview" zoomScale="70" zoomScaleNormal="55" topLeftCell="E11" workbookViewId="0">
      <selection activeCell="O20" sqref="O20"/>
    </sheetView>
  </sheetViews>
  <sheetFormatPr defaultColWidth="11.5714285714286" defaultRowHeight="15"/>
  <cols>
    <col min="1" max="1" width="10.7142857142857" style="92" customWidth="1"/>
    <col min="2" max="2" width="51.4285714285714" style="92" customWidth="1"/>
    <col min="3" max="3" width="11.2857142857143" style="92" customWidth="1"/>
    <col min="4" max="4" width="11.5714285714286" style="92" customWidth="1"/>
    <col min="5" max="5" width="27.2857142857143" style="92" customWidth="1"/>
    <col min="6" max="6" width="14" style="92" customWidth="1"/>
    <col min="7" max="7" width="13.1428571428571" style="92" customWidth="1"/>
    <col min="8" max="8" width="43.2857142857143" style="92" customWidth="1"/>
    <col min="9" max="9" width="23.8571428571429" style="92" customWidth="1"/>
    <col min="10" max="10" width="6" style="92" customWidth="1"/>
    <col min="11" max="13" width="11.5714285714286" style="92" customWidth="1"/>
    <col min="14" max="14" width="45.2857142857143" style="92" customWidth="1"/>
    <col min="15" max="15" width="19.5714285714286" style="92" customWidth="1"/>
    <col min="16" max="16384" width="11.5714285714286" style="92" customWidth="1"/>
  </cols>
  <sheetData>
    <row r="1" ht="15.75" customHeight="1" spans="1:21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</row>
    <row r="2" ht="34.15" customHeight="1" spans="1:21">
      <c r="A2" s="145"/>
      <c r="B2" s="146" t="s">
        <v>112</v>
      </c>
      <c r="C2" s="79"/>
      <c r="D2" s="145"/>
      <c r="E2" s="147" t="s">
        <v>113</v>
      </c>
      <c r="F2" s="48"/>
      <c r="G2" s="78"/>
      <c r="H2" s="148" t="e">
        <f>(F29+F30+F31+F32+F33+F34+F35+F36+F37+F38+F39+F40+F41+F42+F43)/(F7+F8+F9+F10+F11+F12+F13+F14+F15+F16+F17+F18+F19+F20+F21)</f>
        <v>#DIV/0!</v>
      </c>
      <c r="I2" s="145"/>
      <c r="J2" s="145"/>
      <c r="K2" s="145"/>
      <c r="L2" s="145"/>
      <c r="M2" s="145"/>
      <c r="N2" s="182" t="s">
        <v>114</v>
      </c>
      <c r="O2" s="46"/>
      <c r="P2" s="46"/>
      <c r="Q2" s="46"/>
      <c r="R2" s="46"/>
      <c r="S2" s="46"/>
      <c r="T2" s="46"/>
      <c r="U2" s="46"/>
    </row>
    <row r="3" ht="35.45" customHeight="1" spans="1:22">
      <c r="A3" s="145"/>
      <c r="B3" s="45"/>
      <c r="C3" s="80"/>
      <c r="D3" s="149"/>
      <c r="E3" s="150" t="s">
        <v>115</v>
      </c>
      <c r="F3" s="48"/>
      <c r="G3" s="151"/>
      <c r="H3" s="152">
        <f>'Эффективность (...) дроны'!B52</f>
        <v>0.356843065693431</v>
      </c>
      <c r="I3" s="183"/>
      <c r="J3" s="184"/>
      <c r="K3" s="145"/>
      <c r="L3" s="145"/>
      <c r="M3" s="145"/>
      <c r="N3" s="185" t="s">
        <v>116</v>
      </c>
      <c r="O3" s="48"/>
      <c r="P3" s="48"/>
      <c r="Q3" s="48"/>
      <c r="R3" s="48"/>
      <c r="S3" s="48"/>
      <c r="T3" s="48"/>
      <c r="U3" s="78"/>
      <c r="V3" s="197"/>
    </row>
    <row r="4" ht="25.15" customHeight="1" spans="1:21">
      <c r="A4" s="145"/>
      <c r="B4" s="153"/>
      <c r="C4" s="153"/>
      <c r="D4" s="153"/>
      <c r="E4" s="153"/>
      <c r="F4" s="153"/>
      <c r="G4" s="153"/>
      <c r="H4" s="153"/>
      <c r="I4" s="153"/>
      <c r="J4" s="186"/>
      <c r="K4" s="145"/>
      <c r="L4" s="145"/>
      <c r="M4" s="145"/>
      <c r="N4" s="187" t="s">
        <v>117</v>
      </c>
      <c r="O4" s="188"/>
      <c r="P4" s="145"/>
      <c r="Q4" s="198" t="s">
        <v>118</v>
      </c>
      <c r="R4" s="50"/>
      <c r="S4" s="50"/>
      <c r="T4" s="50"/>
      <c r="U4" s="199"/>
    </row>
    <row r="5" ht="16.5" customHeight="1" spans="1:21">
      <c r="A5" s="145"/>
      <c r="B5" s="154" t="s">
        <v>119</v>
      </c>
      <c r="E5" s="154" t="s">
        <v>120</v>
      </c>
      <c r="H5" s="155" t="s">
        <v>121</v>
      </c>
      <c r="J5" s="189"/>
      <c r="K5" s="145"/>
      <c r="L5" s="145"/>
      <c r="M5" s="145"/>
      <c r="N5" s="190"/>
      <c r="O5" s="172"/>
      <c r="P5" s="145"/>
      <c r="Q5" s="43"/>
      <c r="U5" s="135"/>
    </row>
    <row r="6" ht="18.75" customHeight="1" spans="1:21">
      <c r="A6" s="145"/>
      <c r="B6" s="156" t="s">
        <v>122</v>
      </c>
      <c r="C6" s="157"/>
      <c r="D6" s="153"/>
      <c r="E6" s="158" t="s">
        <v>122</v>
      </c>
      <c r="H6" s="159" t="s">
        <v>123</v>
      </c>
      <c r="I6" s="191" t="str">
        <f>главная!G4</f>
        <v>04.09.2025г.</v>
      </c>
      <c r="J6" s="153"/>
      <c r="K6" s="145"/>
      <c r="L6" s="145"/>
      <c r="M6" s="145"/>
      <c r="N6" s="190"/>
      <c r="O6" s="172"/>
      <c r="P6" s="145"/>
      <c r="Q6" s="200"/>
      <c r="R6" s="107"/>
      <c r="S6" s="107"/>
      <c r="T6" s="107"/>
      <c r="U6" s="144"/>
    </row>
    <row r="7" ht="19.5" customHeight="1" spans="1:21">
      <c r="A7" s="145"/>
      <c r="B7" s="160" t="str">
        <f>главная!A13</f>
        <v>танк</v>
      </c>
      <c r="C7" s="161">
        <f>главная!I13</f>
        <v>0</v>
      </c>
      <c r="D7" s="153"/>
      <c r="E7" s="161" t="str">
        <f>главная!B49</f>
        <v>КВН</v>
      </c>
      <c r="F7" s="162">
        <f>главная!D49</f>
        <v>0</v>
      </c>
      <c r="G7" s="163"/>
      <c r="H7" s="160" t="s">
        <v>26</v>
      </c>
      <c r="I7" s="161">
        <f t="shared" ref="I7:I39" si="0">O7+C7</f>
        <v>2</v>
      </c>
      <c r="J7" s="153"/>
      <c r="K7" s="145"/>
      <c r="L7" s="145"/>
      <c r="M7" s="145"/>
      <c r="N7" s="192" t="str">
        <f t="shared" ref="N7:N39" si="1">H7</f>
        <v>танк</v>
      </c>
      <c r="O7" s="193">
        <v>2</v>
      </c>
      <c r="P7" s="145"/>
      <c r="Q7" s="201" t="s">
        <v>124</v>
      </c>
      <c r="R7" s="133"/>
      <c r="S7" s="133"/>
      <c r="T7" s="133"/>
      <c r="U7" s="134"/>
    </row>
    <row r="8" ht="19.5" customHeight="1" spans="1:21">
      <c r="A8" s="145"/>
      <c r="B8" s="160" t="str">
        <f>главная!A14</f>
        <v>самоходное артиллерийское орудие</v>
      </c>
      <c r="C8" s="161">
        <f>главная!I14</f>
        <v>0</v>
      </c>
      <c r="D8" s="153"/>
      <c r="E8" s="161" t="str">
        <f>главная!B50</f>
        <v>КВН-Т</v>
      </c>
      <c r="F8" s="162">
        <f>главная!D50</f>
        <v>0</v>
      </c>
      <c r="G8" s="163"/>
      <c r="H8" s="164" t="s">
        <v>27</v>
      </c>
      <c r="I8" s="161">
        <f t="shared" si="0"/>
        <v>0</v>
      </c>
      <c r="J8" s="153"/>
      <c r="K8" s="145"/>
      <c r="L8" s="145"/>
      <c r="M8" s="145"/>
      <c r="N8" s="192" t="str">
        <f t="shared" si="1"/>
        <v>самоходное артиллерийское орудие</v>
      </c>
      <c r="O8" s="193"/>
      <c r="P8" s="145"/>
      <c r="Q8" s="128"/>
      <c r="U8" s="135"/>
    </row>
    <row r="9" ht="19.5" customHeight="1" spans="1:21">
      <c r="A9" s="145"/>
      <c r="B9" s="160" t="str">
        <f>главная!A15</f>
        <v>буксируемое артиллерийское орудие</v>
      </c>
      <c r="C9" s="161">
        <f>главная!I15</f>
        <v>0</v>
      </c>
      <c r="D9" s="153"/>
      <c r="E9" s="161" t="str">
        <f>главная!B51</f>
        <v>ПВХ-1</v>
      </c>
      <c r="F9" s="162">
        <f>главная!D51</f>
        <v>0</v>
      </c>
      <c r="G9" s="163"/>
      <c r="H9" s="164" t="s">
        <v>28</v>
      </c>
      <c r="I9" s="161">
        <f t="shared" si="0"/>
        <v>6</v>
      </c>
      <c r="J9" s="153"/>
      <c r="K9" s="145"/>
      <c r="L9" s="145"/>
      <c r="M9" s="145"/>
      <c r="N9" s="192" t="str">
        <f t="shared" si="1"/>
        <v>буксируемое артиллерийское орудие</v>
      </c>
      <c r="O9" s="193">
        <v>6</v>
      </c>
      <c r="P9" s="145"/>
      <c r="Q9" s="128"/>
      <c r="U9" s="135"/>
    </row>
    <row r="10" ht="19.5" customHeight="1" spans="1:21">
      <c r="A10" s="145"/>
      <c r="B10" s="160" t="str">
        <f>главная!A16</f>
        <v>РСЗО</v>
      </c>
      <c r="C10" s="161">
        <f>главная!I16</f>
        <v>0</v>
      </c>
      <c r="D10" s="153"/>
      <c r="E10" s="161" t="str">
        <f>главная!B52</f>
        <v>ПВХ-1Т</v>
      </c>
      <c r="F10" s="162">
        <f>главная!D52</f>
        <v>0</v>
      </c>
      <c r="G10" s="163"/>
      <c r="H10" s="164" t="s">
        <v>29</v>
      </c>
      <c r="I10" s="161">
        <f t="shared" si="0"/>
        <v>0</v>
      </c>
      <c r="J10" s="153"/>
      <c r="K10" s="145"/>
      <c r="L10" s="145"/>
      <c r="M10" s="145"/>
      <c r="N10" s="192" t="str">
        <f t="shared" si="1"/>
        <v>РСЗО</v>
      </c>
      <c r="O10" s="193"/>
      <c r="P10" s="145"/>
      <c r="Q10" s="128"/>
      <c r="U10" s="135"/>
    </row>
    <row r="11" ht="19.5" customHeight="1" spans="1:21">
      <c r="A11" s="145"/>
      <c r="B11" s="160" t="str">
        <f>главная!A17</f>
        <v>миномет</v>
      </c>
      <c r="C11" s="161">
        <f>главная!I17</f>
        <v>0</v>
      </c>
      <c r="D11" s="165"/>
      <c r="E11" s="161" t="str">
        <f>главная!B53</f>
        <v>ПВХ-1 Сумрак</v>
      </c>
      <c r="F11" s="162">
        <f>главная!D53</f>
        <v>0</v>
      </c>
      <c r="G11" s="165"/>
      <c r="H11" s="164" t="s">
        <v>30</v>
      </c>
      <c r="I11" s="161">
        <f t="shared" si="0"/>
        <v>1</v>
      </c>
      <c r="J11" s="165"/>
      <c r="K11" s="145"/>
      <c r="L11" s="145"/>
      <c r="M11" s="145"/>
      <c r="N11" s="192" t="str">
        <f t="shared" si="1"/>
        <v>миномет</v>
      </c>
      <c r="O11" s="193">
        <v>1</v>
      </c>
      <c r="P11" s="145"/>
      <c r="Q11" s="128"/>
      <c r="U11" s="135"/>
    </row>
    <row r="12" ht="19.5" customHeight="1" spans="1:21">
      <c r="A12" s="145"/>
      <c r="B12" s="160" t="str">
        <f>главная!A18</f>
        <v>ПТРК</v>
      </c>
      <c r="C12" s="161">
        <f>главная!I18</f>
        <v>0</v>
      </c>
      <c r="D12" s="153"/>
      <c r="E12" s="161" t="str">
        <f>главная!B54</f>
        <v>ПВХ-3</v>
      </c>
      <c r="F12" s="162">
        <f>главная!D54</f>
        <v>0</v>
      </c>
      <c r="G12" s="165"/>
      <c r="H12" s="164" t="s">
        <v>31</v>
      </c>
      <c r="I12" s="161">
        <f t="shared" si="0"/>
        <v>0</v>
      </c>
      <c r="J12" s="153"/>
      <c r="K12" s="145"/>
      <c r="L12" s="145"/>
      <c r="M12" s="145"/>
      <c r="N12" s="192" t="str">
        <f t="shared" si="1"/>
        <v>ПТРК</v>
      </c>
      <c r="O12" s="193"/>
      <c r="P12" s="145"/>
      <c r="Q12" s="128"/>
      <c r="U12" s="135"/>
    </row>
    <row r="13" ht="19.5" customHeight="1" spans="1:21">
      <c r="A13" s="145"/>
      <c r="B13" s="160" t="str">
        <f>главная!A19</f>
        <v>зенитная установка</v>
      </c>
      <c r="C13" s="161">
        <f>главная!I19</f>
        <v>0</v>
      </c>
      <c r="D13" s="165"/>
      <c r="E13" s="161" t="str">
        <f>главная!B55</f>
        <v>ПВХ-3Т</v>
      </c>
      <c r="F13" s="162">
        <f>главная!D55</f>
        <v>0</v>
      </c>
      <c r="G13" s="165"/>
      <c r="H13" s="164" t="s">
        <v>32</v>
      </c>
      <c r="I13" s="161">
        <f t="shared" si="0"/>
        <v>0</v>
      </c>
      <c r="J13" s="165"/>
      <c r="K13" s="145"/>
      <c r="L13" s="145"/>
      <c r="M13" s="145"/>
      <c r="N13" s="192" t="str">
        <f t="shared" si="1"/>
        <v>зенитная установка</v>
      </c>
      <c r="O13" s="193"/>
      <c r="P13" s="145"/>
      <c r="Q13" s="128"/>
      <c r="U13" s="135"/>
    </row>
    <row r="14" ht="19.5" customHeight="1" spans="1:21">
      <c r="A14" s="145"/>
      <c r="B14" s="160" t="str">
        <f>главная!A20</f>
        <v>боевая машина пехоты</v>
      </c>
      <c r="C14" s="161">
        <f>главная!I20</f>
        <v>0</v>
      </c>
      <c r="D14" s="165"/>
      <c r="E14" s="161" t="str">
        <f>главная!B56</f>
        <v>Бумеранг-10 (День)</v>
      </c>
      <c r="F14" s="162">
        <f>главная!D56</f>
        <v>0</v>
      </c>
      <c r="G14" s="165"/>
      <c r="H14" s="164" t="s">
        <v>33</v>
      </c>
      <c r="I14" s="161">
        <f t="shared" si="0"/>
        <v>1</v>
      </c>
      <c r="J14" s="165"/>
      <c r="K14" s="145"/>
      <c r="L14" s="145"/>
      <c r="M14" s="145"/>
      <c r="N14" s="192" t="str">
        <f t="shared" si="1"/>
        <v>боевая машина пехоты</v>
      </c>
      <c r="O14" s="193">
        <v>1</v>
      </c>
      <c r="P14" s="145"/>
      <c r="Q14" s="128"/>
      <c r="U14" s="135"/>
    </row>
    <row r="15" ht="19.5" customHeight="1" spans="1:21">
      <c r="A15" s="145"/>
      <c r="B15" s="160" t="str">
        <f>главная!A21</f>
        <v>бронетранспортер</v>
      </c>
      <c r="C15" s="161">
        <f>главная!I21</f>
        <v>0</v>
      </c>
      <c r="D15" s="165"/>
      <c r="E15" s="161" t="str">
        <f>главная!B57</f>
        <v>Бумеранг-10 (Ночь)</v>
      </c>
      <c r="F15" s="162">
        <f>главная!D57</f>
        <v>0</v>
      </c>
      <c r="G15" s="145"/>
      <c r="H15" s="164" t="s">
        <v>34</v>
      </c>
      <c r="I15" s="161">
        <f t="shared" si="0"/>
        <v>1</v>
      </c>
      <c r="J15" s="165"/>
      <c r="K15" s="145"/>
      <c r="L15" s="145"/>
      <c r="M15" s="145"/>
      <c r="N15" s="192" t="str">
        <f t="shared" si="1"/>
        <v>бронетранспортер</v>
      </c>
      <c r="O15" s="193">
        <v>1</v>
      </c>
      <c r="P15" s="145"/>
      <c r="Q15" s="128"/>
      <c r="U15" s="135"/>
    </row>
    <row r="16" ht="19.5" customHeight="1" spans="1:21">
      <c r="A16" s="145"/>
      <c r="B16" s="160" t="str">
        <f>главная!A22</f>
        <v>боевая бронированная машина</v>
      </c>
      <c r="C16" s="161">
        <f>главная!I22</f>
        <v>0</v>
      </c>
      <c r="D16" s="165"/>
      <c r="E16" s="161" t="str">
        <f>главная!B58</f>
        <v>ПВХ-5</v>
      </c>
      <c r="F16" s="162">
        <f>главная!D58</f>
        <v>0</v>
      </c>
      <c r="G16" s="145"/>
      <c r="H16" s="164" t="s">
        <v>35</v>
      </c>
      <c r="I16" s="161">
        <f t="shared" si="0"/>
        <v>12</v>
      </c>
      <c r="J16" s="165"/>
      <c r="K16" s="145"/>
      <c r="L16" s="145"/>
      <c r="M16" s="145"/>
      <c r="N16" s="192" t="str">
        <f t="shared" si="1"/>
        <v>боевая бронированная машина</v>
      </c>
      <c r="O16" s="193">
        <v>12</v>
      </c>
      <c r="P16" s="145"/>
      <c r="Q16" s="128"/>
      <c r="U16" s="135"/>
    </row>
    <row r="17" ht="19.5" customHeight="1" spans="1:21">
      <c r="A17" s="145"/>
      <c r="B17" s="160" t="str">
        <f>главная!A23</f>
        <v>РЛС</v>
      </c>
      <c r="C17" s="161">
        <f>главная!I23</f>
        <v>0</v>
      </c>
      <c r="D17" s="165"/>
      <c r="E17" s="161" t="str">
        <f>главная!B59</f>
        <v>ПВХ-5Т</v>
      </c>
      <c r="F17" s="162">
        <f>главная!D59</f>
        <v>0</v>
      </c>
      <c r="G17" s="145"/>
      <c r="H17" s="164" t="s">
        <v>36</v>
      </c>
      <c r="I17" s="161">
        <f t="shared" si="0"/>
        <v>2</v>
      </c>
      <c r="J17" s="165"/>
      <c r="K17" s="145"/>
      <c r="L17" s="145"/>
      <c r="M17" s="145"/>
      <c r="N17" s="192" t="str">
        <f t="shared" si="1"/>
        <v>РЛС</v>
      </c>
      <c r="O17" s="193">
        <v>2</v>
      </c>
      <c r="P17" s="145"/>
      <c r="Q17" s="128"/>
      <c r="U17" s="135"/>
    </row>
    <row r="18" ht="19.5" customHeight="1" spans="1:21">
      <c r="A18" s="145"/>
      <c r="B18" s="160" t="str">
        <f>главная!A24</f>
        <v>РЭР</v>
      </c>
      <c r="C18" s="161">
        <f>главная!I24</f>
        <v>0</v>
      </c>
      <c r="D18" s="153"/>
      <c r="E18" s="161" t="str">
        <f>главная!B60</f>
        <v>Молния-2</v>
      </c>
      <c r="F18" s="162">
        <f>главная!D60</f>
        <v>0</v>
      </c>
      <c r="G18" s="145"/>
      <c r="H18" s="166" t="s">
        <v>37</v>
      </c>
      <c r="I18" s="161">
        <f t="shared" si="0"/>
        <v>0</v>
      </c>
      <c r="J18" s="153"/>
      <c r="K18" s="170"/>
      <c r="L18" s="194"/>
      <c r="M18" s="194"/>
      <c r="N18" s="192" t="str">
        <f t="shared" si="1"/>
        <v>РЭР</v>
      </c>
      <c r="O18" s="193"/>
      <c r="P18" s="194"/>
      <c r="Q18" s="128"/>
      <c r="U18" s="135"/>
    </row>
    <row r="19" ht="19.5" customHeight="1" spans="1:21">
      <c r="A19" s="145"/>
      <c r="B19" s="160" t="str">
        <f>главная!A25</f>
        <v>РЭБ</v>
      </c>
      <c r="C19" s="161">
        <f>главная!I25</f>
        <v>0</v>
      </c>
      <c r="D19" s="165"/>
      <c r="E19" s="161" t="str">
        <f>главная!B61</f>
        <v>Молния-2ДТ</v>
      </c>
      <c r="F19" s="162">
        <f>главная!D61</f>
        <v>0</v>
      </c>
      <c r="G19" s="145"/>
      <c r="H19" s="164" t="s">
        <v>38</v>
      </c>
      <c r="I19" s="161">
        <f t="shared" si="0"/>
        <v>0</v>
      </c>
      <c r="J19" s="165"/>
      <c r="K19" s="170"/>
      <c r="L19" s="194"/>
      <c r="M19" s="194"/>
      <c r="N19" s="192" t="str">
        <f t="shared" si="1"/>
        <v>РЭБ</v>
      </c>
      <c r="O19" s="193"/>
      <c r="P19" s="194"/>
      <c r="Q19" s="128"/>
      <c r="U19" s="135"/>
    </row>
    <row r="20" ht="19.5" customHeight="1" spans="1:21">
      <c r="A20" s="145"/>
      <c r="B20" s="160" t="str">
        <f>главная!A26</f>
        <v>автомобильная техника</v>
      </c>
      <c r="C20" s="161">
        <f>главная!I26</f>
        <v>0</v>
      </c>
      <c r="D20" s="165"/>
      <c r="E20" s="161" t="str">
        <f>главная!B62</f>
        <v>Ш-10</v>
      </c>
      <c r="F20" s="162">
        <f>главная!D62</f>
        <v>0</v>
      </c>
      <c r="G20" s="145"/>
      <c r="H20" s="164" t="s">
        <v>39</v>
      </c>
      <c r="I20" s="161">
        <f t="shared" si="0"/>
        <v>143</v>
      </c>
      <c r="J20" s="165"/>
      <c r="K20" s="170"/>
      <c r="L20" s="194"/>
      <c r="M20" s="194"/>
      <c r="N20" s="192" t="str">
        <f t="shared" si="1"/>
        <v>автомобильная техника</v>
      </c>
      <c r="O20" s="193">
        <v>143</v>
      </c>
      <c r="P20" s="194"/>
      <c r="Q20" s="128"/>
      <c r="U20" s="135"/>
    </row>
    <row r="21" ht="19.5" customHeight="1" spans="1:21">
      <c r="A21" s="145"/>
      <c r="B21" s="160" t="str">
        <f>главная!A27</f>
        <v>мототехника</v>
      </c>
      <c r="C21" s="161">
        <f>главная!I27</f>
        <v>0</v>
      </c>
      <c r="D21" s="165"/>
      <c r="E21" s="161" t="str">
        <f>главная!B63</f>
        <v>Х-51</v>
      </c>
      <c r="F21" s="167">
        <f>главная!D63</f>
        <v>0</v>
      </c>
      <c r="G21" s="145"/>
      <c r="H21" s="168" t="s">
        <v>40</v>
      </c>
      <c r="I21" s="161">
        <f t="shared" si="0"/>
        <v>1</v>
      </c>
      <c r="J21" s="165"/>
      <c r="K21" s="170"/>
      <c r="L21" s="194"/>
      <c r="M21" s="194"/>
      <c r="N21" s="192" t="str">
        <f t="shared" si="1"/>
        <v>мототехника</v>
      </c>
      <c r="O21" s="193">
        <v>1</v>
      </c>
      <c r="P21" s="194"/>
      <c r="Q21" s="128"/>
      <c r="U21" s="135"/>
    </row>
    <row r="22" ht="19.5" customHeight="1" spans="1:21">
      <c r="A22" s="145"/>
      <c r="B22" s="160" t="str">
        <f>главная!A28</f>
        <v>инженерная техника</v>
      </c>
      <c r="C22" s="161">
        <f>главная!I28</f>
        <v>0</v>
      </c>
      <c r="D22" s="165"/>
      <c r="E22" s="161" t="str">
        <f>главная!B64</f>
        <v>Х-52</v>
      </c>
      <c r="F22" s="167">
        <f>главная!D64</f>
        <v>0</v>
      </c>
      <c r="H22" s="168" t="s">
        <v>41</v>
      </c>
      <c r="I22" s="161">
        <f t="shared" si="0"/>
        <v>5</v>
      </c>
      <c r="J22" s="165"/>
      <c r="K22" s="170"/>
      <c r="L22" s="194"/>
      <c r="M22" s="194"/>
      <c r="N22" s="192" t="str">
        <f t="shared" si="1"/>
        <v>инженерная техника</v>
      </c>
      <c r="O22" s="193">
        <v>5</v>
      </c>
      <c r="P22" s="194"/>
      <c r="Q22" s="128"/>
      <c r="U22" s="135"/>
    </row>
    <row r="23" ht="18.6" customHeight="1" spans="1:21">
      <c r="A23" s="145"/>
      <c r="B23" s="160" t="str">
        <f>главная!A29</f>
        <v>ПУ БпЛА</v>
      </c>
      <c r="C23" s="161">
        <f>главная!I29</f>
        <v>0</v>
      </c>
      <c r="D23" s="169"/>
      <c r="E23" s="161" t="str">
        <f>главная!B65</f>
        <v>Скальпель</v>
      </c>
      <c r="F23" s="167">
        <f>главная!D65</f>
        <v>0</v>
      </c>
      <c r="H23" s="168" t="s">
        <v>42</v>
      </c>
      <c r="I23" s="161">
        <f t="shared" si="0"/>
        <v>95</v>
      </c>
      <c r="J23" s="169"/>
      <c r="K23" s="170"/>
      <c r="L23" s="194"/>
      <c r="M23" s="194"/>
      <c r="N23" s="192" t="str">
        <f t="shared" si="1"/>
        <v>ПУ БпЛА</v>
      </c>
      <c r="O23" s="193">
        <v>95</v>
      </c>
      <c r="P23" s="194"/>
      <c r="Q23" s="128"/>
      <c r="U23" s="135"/>
    </row>
    <row r="24" ht="18.6" customHeight="1" spans="1:21">
      <c r="A24" s="145"/>
      <c r="B24" s="160" t="str">
        <f>главная!A30</f>
        <v>БпЛА</v>
      </c>
      <c r="C24" s="161">
        <f>главная!I30</f>
        <v>0</v>
      </c>
      <c r="D24" s="169"/>
      <c r="E24" s="161" t="str">
        <f>главная!B66</f>
        <v>Утка Д</v>
      </c>
      <c r="F24" s="167">
        <f>главная!D66</f>
        <v>0</v>
      </c>
      <c r="H24" s="168" t="s">
        <v>43</v>
      </c>
      <c r="I24" s="161">
        <f t="shared" si="0"/>
        <v>42</v>
      </c>
      <c r="J24" s="169"/>
      <c r="K24" s="170"/>
      <c r="L24" s="194"/>
      <c r="M24" s="194"/>
      <c r="N24" s="192" t="str">
        <f t="shared" si="1"/>
        <v>БпЛА</v>
      </c>
      <c r="O24" s="193">
        <v>42</v>
      </c>
      <c r="P24" s="194"/>
      <c r="Q24" s="128"/>
      <c r="U24" s="135"/>
    </row>
    <row r="25" ht="19.5" customHeight="1" spans="1:21">
      <c r="A25" s="145"/>
      <c r="B25" s="160" t="str">
        <f>главная!A31</f>
        <v>Наземные дроны</v>
      </c>
      <c r="C25" s="161">
        <f>главная!I31</f>
        <v>0</v>
      </c>
      <c r="D25" s="169"/>
      <c r="E25" s="161" t="str">
        <f>главная!B67</f>
        <v>Утка Н</v>
      </c>
      <c r="F25" s="167">
        <f>главная!D67</f>
        <v>0</v>
      </c>
      <c r="H25" s="168" t="s">
        <v>44</v>
      </c>
      <c r="I25" s="161">
        <f t="shared" si="0"/>
        <v>5</v>
      </c>
      <c r="J25" s="169"/>
      <c r="K25" s="170"/>
      <c r="L25" s="194"/>
      <c r="M25" s="194"/>
      <c r="N25" s="192" t="str">
        <f t="shared" si="1"/>
        <v>Наземные дроны</v>
      </c>
      <c r="O25" s="193">
        <v>5</v>
      </c>
      <c r="P25" s="194"/>
      <c r="Q25" s="128"/>
      <c r="U25" s="135"/>
    </row>
    <row r="26" ht="19.5" customHeight="1" spans="1:21">
      <c r="A26" s="145"/>
      <c r="B26" s="160" t="str">
        <f>главная!A32</f>
        <v>Баба Яга</v>
      </c>
      <c r="C26" s="161">
        <f>главная!I32</f>
        <v>0</v>
      </c>
      <c r="D26" s="170"/>
      <c r="G26" s="153"/>
      <c r="H26" s="168" t="s">
        <v>45</v>
      </c>
      <c r="I26" s="161">
        <f t="shared" si="0"/>
        <v>100</v>
      </c>
      <c r="J26" s="170"/>
      <c r="K26" s="170"/>
      <c r="L26" s="194"/>
      <c r="M26" s="194"/>
      <c r="N26" s="192" t="str">
        <f t="shared" si="1"/>
        <v>Баба Яга</v>
      </c>
      <c r="O26" s="193">
        <v>100</v>
      </c>
      <c r="P26" s="194"/>
      <c r="Q26" s="128"/>
      <c r="U26" s="135"/>
    </row>
    <row r="27" ht="19.5" customHeight="1" spans="1:21">
      <c r="A27" s="145"/>
      <c r="B27" s="160" t="str">
        <f>главная!A33</f>
        <v>пункт управления</v>
      </c>
      <c r="C27" s="161">
        <f>главная!I33</f>
        <v>0</v>
      </c>
      <c r="D27" s="145"/>
      <c r="E27" s="171" t="s">
        <v>125</v>
      </c>
      <c r="F27" s="19"/>
      <c r="G27" s="172"/>
      <c r="H27" s="168" t="s">
        <v>46</v>
      </c>
      <c r="I27" s="161">
        <f t="shared" si="0"/>
        <v>0</v>
      </c>
      <c r="J27" s="145"/>
      <c r="K27" s="145"/>
      <c r="L27" s="145"/>
      <c r="M27" s="145"/>
      <c r="N27" s="192" t="str">
        <f t="shared" si="1"/>
        <v>пункт управления</v>
      </c>
      <c r="O27" s="193"/>
      <c r="P27" s="145"/>
      <c r="Q27" s="128"/>
      <c r="U27" s="135"/>
    </row>
    <row r="28" ht="19.5" customHeight="1" spans="1:21">
      <c r="A28" s="145"/>
      <c r="B28" s="160" t="str">
        <f>главная!A34</f>
        <v>склад БК</v>
      </c>
      <c r="C28" s="161">
        <f>главная!I34</f>
        <v>0</v>
      </c>
      <c r="D28" s="145"/>
      <c r="E28" s="173" t="s">
        <v>122</v>
      </c>
      <c r="F28" s="19"/>
      <c r="G28" s="172"/>
      <c r="H28" s="168" t="s">
        <v>47</v>
      </c>
      <c r="I28" s="161">
        <f t="shared" si="0"/>
        <v>11</v>
      </c>
      <c r="J28" s="145"/>
      <c r="K28" s="145"/>
      <c r="L28" s="145"/>
      <c r="M28" s="145"/>
      <c r="N28" s="192" t="str">
        <f t="shared" si="1"/>
        <v>склад БК</v>
      </c>
      <c r="O28" s="193">
        <v>11</v>
      </c>
      <c r="P28" s="145"/>
      <c r="Q28" s="128"/>
      <c r="U28" s="135"/>
    </row>
    <row r="29" ht="19.5" customHeight="1" spans="1:21">
      <c r="A29" s="145"/>
      <c r="B29" s="160" t="str">
        <f>главная!A35</f>
        <v>склад ГСМ</v>
      </c>
      <c r="C29" s="161">
        <f>главная!I35</f>
        <v>0</v>
      </c>
      <c r="D29" s="145"/>
      <c r="E29" s="161" t="str">
        <f>главная!B49</f>
        <v>КВН</v>
      </c>
      <c r="F29" s="174">
        <f>SUMIFS('8 (Отряд)'!$I$1:$I$1812,'8 (Отряд)'!$H$1:$H$1812,"КВН",'8 (Отряд)'!$M$1:$M$1812,"уничтожение",'8 (Отряд)'!$N$1:$N$1812,"уничтожено")+SUMIFS('8 (Отряд)'!$I$1:$I$1812,'8 (Отряд)'!$H$1:$H$1812,"КВН",'8 (Отряд)'!$M$1:$M$1812,"уничтожение",'8 (Отряд)'!$N$1:$N$1812,"поражено")</f>
        <v>0</v>
      </c>
      <c r="G29" s="153"/>
      <c r="H29" s="168" t="s">
        <v>48</v>
      </c>
      <c r="I29" s="161">
        <f t="shared" si="0"/>
        <v>0</v>
      </c>
      <c r="J29" s="145"/>
      <c r="K29" s="145"/>
      <c r="L29" s="145"/>
      <c r="M29" s="163"/>
      <c r="N29" s="192" t="str">
        <f t="shared" si="1"/>
        <v>склад ГСМ</v>
      </c>
      <c r="O29" s="193"/>
      <c r="P29" s="145"/>
      <c r="Q29" s="128"/>
      <c r="U29" s="135"/>
    </row>
    <row r="30" ht="19.5" customHeight="1" spans="1:21">
      <c r="A30" s="145"/>
      <c r="B30" s="160" t="str">
        <f>главная!A36</f>
        <v>огневая позиция</v>
      </c>
      <c r="C30" s="161">
        <f>главная!I36</f>
        <v>0</v>
      </c>
      <c r="D30" s="145"/>
      <c r="E30" s="161" t="str">
        <f>главная!B50</f>
        <v>КВН-Т</v>
      </c>
      <c r="F30" s="174">
        <f>SUMIFS('8 (Отряд)'!$I$1:$I$1812,'8 (Отряд)'!$H$1:$H$1812,"КВН-Т",'8 (Отряд)'!$M$1:$M$1812,"уничтожение",'8 (Отряд)'!$N$1:$N$1812,"уничтожено")+SUMIFS('8 (Отряд)'!$I$1:$I$1812,'8 (Отряд)'!$H$1:$H$1812,"КВН-Т",'8 (Отряд)'!$M$1:$M$1812,"уничтожение",'8 (Отряд)'!$N$1:$N$1812,"поражено")</f>
        <v>0</v>
      </c>
      <c r="G30" s="153"/>
      <c r="H30" s="168" t="s">
        <v>49</v>
      </c>
      <c r="I30" s="161">
        <f t="shared" si="0"/>
        <v>27</v>
      </c>
      <c r="J30" s="145"/>
      <c r="K30" s="145"/>
      <c r="L30" s="145"/>
      <c r="M30" s="163"/>
      <c r="N30" s="192" t="str">
        <f t="shared" si="1"/>
        <v>огневая позиция</v>
      </c>
      <c r="O30" s="193">
        <v>27</v>
      </c>
      <c r="P30" s="145"/>
      <c r="Q30" s="143"/>
      <c r="R30" s="107"/>
      <c r="S30" s="107"/>
      <c r="T30" s="107"/>
      <c r="U30" s="144"/>
    </row>
    <row r="31" ht="19.5" customHeight="1" spans="1:21">
      <c r="A31" s="145"/>
      <c r="B31" s="160" t="str">
        <f>главная!A37</f>
        <v>пункт временной дислокации</v>
      </c>
      <c r="C31" s="161">
        <f>главная!I37</f>
        <v>0</v>
      </c>
      <c r="D31" s="145"/>
      <c r="E31" s="161" t="str">
        <f>главная!B51</f>
        <v>ПВХ-1</v>
      </c>
      <c r="F31" s="174">
        <f>SUMIFS('8 (Отряд)'!$I$1:$I$1812,'8 (Отряд)'!$H$1:$H$1812,"ПВХ-1",'8 (Отряд)'!$M$1:$M$1812,"уничтожение",'8 (Отряд)'!$N$1:$N$1812,"уничтожено")+SUMIFS('8 (Отряд)'!$I$1:$I$1812,'8 (Отряд)'!$H$1:$H$1812,"ПВХ-1",'8 (Отряд)'!$M$1:$M$1812,"уничтожение",'8 (Отряд)'!$N$1:$N$1812,"поражено")</f>
        <v>0</v>
      </c>
      <c r="G31" s="153"/>
      <c r="H31" s="168" t="s">
        <v>50</v>
      </c>
      <c r="I31" s="161">
        <f t="shared" si="0"/>
        <v>189</v>
      </c>
      <c r="J31" s="145"/>
      <c r="K31" s="145"/>
      <c r="L31" s="145"/>
      <c r="M31" s="163"/>
      <c r="N31" s="192" t="str">
        <f t="shared" si="1"/>
        <v>пункт временной дислокации</v>
      </c>
      <c r="O31" s="193">
        <v>189</v>
      </c>
      <c r="P31" s="145"/>
      <c r="Q31" s="145"/>
      <c r="R31" s="145"/>
      <c r="S31" s="145"/>
      <c r="T31" s="145"/>
      <c r="U31" s="145"/>
    </row>
    <row r="32" ht="19.5" customHeight="1" spans="1:21">
      <c r="A32" s="145"/>
      <c r="B32" s="160" t="str">
        <f>главная!A38</f>
        <v>инженерное сооружение</v>
      </c>
      <c r="C32" s="161">
        <f>главная!I38</f>
        <v>0</v>
      </c>
      <c r="D32" s="145"/>
      <c r="E32" s="161" t="str">
        <f>главная!B52</f>
        <v>ПВХ-1Т</v>
      </c>
      <c r="F32" s="174">
        <f>SUMIFS('8 (Отряд)'!$I$1:$I$1812,'8 (Отряд)'!$H$1:$H$1812,"ПВХ-1Т",'8 (Отряд)'!$M$1:$M$1812,"уничтожение",'8 (Отряд)'!$N$1:$N$1812,"уничтожено")+SUMIFS('8 (Отряд)'!$I$1:$I$1812,'8 (Отряд)'!$H$1:$H$1812,"ПВХ-1Т",'8 (Отряд)'!$M$1:$M$1812,"уничтожение",'8 (Отряд)'!$N$1:$N$1812,"поражено")</f>
        <v>0</v>
      </c>
      <c r="G32" s="145"/>
      <c r="H32" s="168" t="s">
        <v>51</v>
      </c>
      <c r="I32" s="161">
        <f t="shared" si="0"/>
        <v>3</v>
      </c>
      <c r="J32" s="145"/>
      <c r="K32" s="145"/>
      <c r="L32" s="145"/>
      <c r="M32" s="163"/>
      <c r="N32" s="192" t="str">
        <f t="shared" si="1"/>
        <v>инженерное сооружение</v>
      </c>
      <c r="O32" s="193">
        <v>3</v>
      </c>
      <c r="P32" s="145"/>
      <c r="Q32" s="145"/>
      <c r="R32" s="145"/>
      <c r="S32" s="145"/>
      <c r="T32" s="145"/>
      <c r="U32" s="145"/>
    </row>
    <row r="33" ht="19.5" customHeight="1" spans="1:21">
      <c r="A33" s="145"/>
      <c r="B33" s="160" t="str">
        <f>главная!A39</f>
        <v>система связи</v>
      </c>
      <c r="C33" s="161">
        <f>главная!I39</f>
        <v>0</v>
      </c>
      <c r="D33" s="145"/>
      <c r="E33" s="161" t="str">
        <f>главная!B53</f>
        <v>ПВХ-1 Сумрак</v>
      </c>
      <c r="F33" s="174">
        <f>SUMIFS('8 (Отряд)'!$I$1:$I$1812,'8 (Отряд)'!$H$1:$H$1812,"ПВХ-1 Сумрак",'8 (Отряд)'!$M$1:$M$1812,"уничтожение",'8 (Отряд)'!$N$1:$N$1812,"уничтожено")+SUMIFS('8 (Отряд)'!$I$1:$I$1812,'8 (Отряд)'!$H$1:$H$1812,"ПВХ-1 Сумрак",'8 (Отряд)'!$M$1:$M$1812,"уничтожение",'8 (Отряд)'!$N$1:$N$1812,"поражено")</f>
        <v>0</v>
      </c>
      <c r="G33" s="145"/>
      <c r="H33" s="168" t="s">
        <v>52</v>
      </c>
      <c r="I33" s="161">
        <f t="shared" si="0"/>
        <v>156</v>
      </c>
      <c r="J33" s="145"/>
      <c r="K33" s="145"/>
      <c r="L33" s="145"/>
      <c r="M33" s="163"/>
      <c r="N33" s="192" t="str">
        <f t="shared" si="1"/>
        <v>система связи</v>
      </c>
      <c r="O33" s="193">
        <v>156</v>
      </c>
      <c r="P33" s="145"/>
      <c r="Q33" s="145"/>
      <c r="R33" s="145"/>
      <c r="S33" s="145"/>
      <c r="T33" s="145"/>
      <c r="U33" s="145"/>
    </row>
    <row r="34" ht="19.5" customHeight="1" spans="1:21">
      <c r="A34" s="145"/>
      <c r="B34" s="160" t="str">
        <f>главная!A40</f>
        <v>живая сила 200</v>
      </c>
      <c r="C34" s="161">
        <f>главная!I40</f>
        <v>0</v>
      </c>
      <c r="D34" s="145"/>
      <c r="E34" s="161" t="str">
        <f>главная!B54</f>
        <v>ПВХ-3</v>
      </c>
      <c r="F34" s="174">
        <f>SUMIFS('8 (Отряд)'!$I$1:$I$1812,'8 (Отряд)'!$H$1:$H$1812,"ПВХ-3",'8 (Отряд)'!$M$1:$M$1812,"уничтожение",'8 (Отряд)'!$N$1:$N$1812,"уничтожено")+SUMIFS('8 (Отряд)'!$I$1:$I$1812,'8 (Отряд)'!$H$1:$H$1812,"ПВХ-3",'8 (Отряд)'!$M$1:$M$1812,"уничтожение",'8 (Отряд)'!$N$1:$N$1812,"поражено")</f>
        <v>0</v>
      </c>
      <c r="G34" s="145"/>
      <c r="H34" s="168" t="s">
        <v>53</v>
      </c>
      <c r="I34" s="161">
        <f t="shared" si="0"/>
        <v>9</v>
      </c>
      <c r="J34" s="145"/>
      <c r="K34" s="145"/>
      <c r="L34" s="145"/>
      <c r="M34" s="163"/>
      <c r="N34" s="192" t="str">
        <f t="shared" si="1"/>
        <v>живая сила 200</v>
      </c>
      <c r="O34" s="193">
        <v>9</v>
      </c>
      <c r="P34" s="145"/>
      <c r="Q34" s="145"/>
      <c r="R34" s="145"/>
      <c r="S34" s="145"/>
      <c r="T34" s="145"/>
      <c r="U34" s="145"/>
    </row>
    <row r="35" ht="19.5" customHeight="1" spans="1:21">
      <c r="A35" s="145"/>
      <c r="B35" s="160" t="str">
        <f>главная!A41</f>
        <v>живая сила 300</v>
      </c>
      <c r="C35" s="161">
        <f>главная!I41</f>
        <v>0</v>
      </c>
      <c r="D35" s="145"/>
      <c r="E35" s="161" t="str">
        <f>главная!B55</f>
        <v>ПВХ-3Т</v>
      </c>
      <c r="F35" s="174">
        <f>SUMIFS('8 (Отряд)'!$I$1:$I$1812,'8 (Отряд)'!$H$1:$H$1812,"ПВХ-3Т",'8 (Отряд)'!$M$1:$M$1812,"уничтожение",'8 (Отряд)'!$N$1:$N$1812,"уничтожено")+SUMIFS('8 (Отряд)'!$I$1:$I$1812,'8 (Отряд)'!$H$1:$H$1812,"ПВХ-3Т",'8 (Отряд)'!$M$1:$M$1812,"уничтожение",'8 (Отряд)'!$N$1:$N$1812,"поражено")</f>
        <v>0</v>
      </c>
      <c r="G35" s="145"/>
      <c r="H35" s="168" t="s">
        <v>54</v>
      </c>
      <c r="I35" s="161">
        <f t="shared" si="0"/>
        <v>22</v>
      </c>
      <c r="J35" s="145"/>
      <c r="K35" s="145"/>
      <c r="L35" s="145"/>
      <c r="M35" s="163"/>
      <c r="N35" s="192" t="str">
        <f t="shared" si="1"/>
        <v>живая сила 300</v>
      </c>
      <c r="O35" s="193">
        <v>22</v>
      </c>
      <c r="P35" s="145"/>
      <c r="Q35" s="145"/>
      <c r="R35" s="145"/>
      <c r="S35" s="145"/>
      <c r="T35" s="145"/>
      <c r="U35" s="145"/>
    </row>
    <row r="36" ht="19.5" customHeight="1" spans="1:21">
      <c r="A36" s="145"/>
      <c r="B36" s="160" t="str">
        <f>главная!A42</f>
        <v>средства жизнеобеспечения</v>
      </c>
      <c r="C36" s="161">
        <f>главная!I42</f>
        <v>0</v>
      </c>
      <c r="D36" s="145"/>
      <c r="E36" s="161" t="str">
        <f>главная!B56</f>
        <v>Бумеранг-10 (День)</v>
      </c>
      <c r="F36" s="174">
        <f>SUMIFS('8 (Отряд)'!$I$1:$I$1812,'8 (Отряд)'!$H$1:$H$1812,"Бумеранг-10 (День)",'8 (Отряд)'!$M$1:$M$1812,"уничтожение",'8 (Отряд)'!$N$1:$N$1812,"уничтожено")+SUMIFS('8 (Отряд)'!$I$1:$I$1812,'8 (Отряд)'!$H$1:$H$1812,"Бумеранг-10 (День)",'8 (Отряд)'!$M$1:$M$1812,"уничтожение",'8 (Отряд)'!$N$1:$N$1812,"поражено")</f>
        <v>0</v>
      </c>
      <c r="G36" s="145"/>
      <c r="H36" s="168" t="s">
        <v>55</v>
      </c>
      <c r="I36" s="161">
        <f t="shared" si="0"/>
        <v>19</v>
      </c>
      <c r="J36" s="145"/>
      <c r="K36" s="145"/>
      <c r="L36" s="145"/>
      <c r="M36" s="163"/>
      <c r="N36" s="192" t="str">
        <f t="shared" si="1"/>
        <v>средства жизнеобеспечения</v>
      </c>
      <c r="O36" s="193">
        <v>19</v>
      </c>
      <c r="P36" s="145"/>
      <c r="Q36" s="145"/>
      <c r="R36" s="145"/>
      <c r="S36" s="145"/>
      <c r="T36" s="145"/>
      <c r="U36" s="145"/>
    </row>
    <row r="37" ht="19.5" customHeight="1" spans="1:21">
      <c r="A37" s="145"/>
      <c r="B37" s="160" t="str">
        <f>главная!A43</f>
        <v>огневые средства</v>
      </c>
      <c r="C37" s="161">
        <f>главная!I43</f>
        <v>0</v>
      </c>
      <c r="D37" s="145"/>
      <c r="E37" s="161" t="str">
        <f>главная!B57</f>
        <v>Бумеранг-10 (Ночь)</v>
      </c>
      <c r="F37" s="174">
        <f>SUMIFS('8 (Отряд)'!$I$1:$I$1812,'8 (Отряд)'!$H$1:$H$1812,"Бумеранг-10 (Ночь)",'8 (Отряд)'!$M$1:$M$1812,"уничтожение",'8 (Отряд)'!$N$1:$N$1812,"уничтожено")+SUMIFS('8 (Отряд)'!$I$1:$I$1812,'8 (Отряд)'!$H$1:$H$1812,"Бумеранг-10 (Ночь)",'8 (Отряд)'!$M$1:$M$1812,"уничтожение",'8 (Отряд)'!$N$1:$N$1812,"поражено")</f>
        <v>0</v>
      </c>
      <c r="G37" s="145"/>
      <c r="H37" s="168" t="s">
        <v>56</v>
      </c>
      <c r="I37" s="161">
        <f t="shared" si="0"/>
        <v>0</v>
      </c>
      <c r="J37" s="145"/>
      <c r="K37" s="145"/>
      <c r="L37" s="145"/>
      <c r="M37" s="163"/>
      <c r="N37" s="192" t="str">
        <f t="shared" si="1"/>
        <v>огневые средства</v>
      </c>
      <c r="O37" s="193"/>
      <c r="P37" s="145"/>
      <c r="Q37" s="145"/>
      <c r="R37" s="145"/>
      <c r="S37" s="145"/>
      <c r="T37" s="145"/>
      <c r="U37" s="145"/>
    </row>
    <row r="38" ht="19.5" customHeight="1" spans="1:21">
      <c r="A38" s="145"/>
      <c r="B38" s="160" t="str">
        <f>главная!A44</f>
        <v>макет</v>
      </c>
      <c r="C38" s="161">
        <f>главная!I44</f>
        <v>0</v>
      </c>
      <c r="D38" s="145"/>
      <c r="E38" s="161" t="str">
        <f>главная!B58</f>
        <v>ПВХ-5</v>
      </c>
      <c r="F38" s="175">
        <f>SUMIFS('8 (Отряд)'!$I$1:$I$1812,'8 (Отряд)'!$H$1:$H$1812,"ПВХ-5",'8 (Отряд)'!$M$1:$M$1812,"уничтожение",'8 (Отряд)'!$N$1:$N$1812,"уничтожено")+SUMIFS('8 (Отряд)'!$I$1:$I$1812,'8 (Отряд)'!$H$1:$H$1812,"ПВХ-5",'8 (Отряд)'!$M$1:$M$1812,"уничтожение",'8 (Отряд)'!$N$1:$N$1812,"поражено")</f>
        <v>0</v>
      </c>
      <c r="G38" s="145"/>
      <c r="H38" s="168" t="s">
        <v>57</v>
      </c>
      <c r="I38" s="161">
        <f t="shared" si="0"/>
        <v>3</v>
      </c>
      <c r="J38" s="145"/>
      <c r="K38" s="145"/>
      <c r="L38" s="145"/>
      <c r="M38" s="163"/>
      <c r="N38" s="192" t="str">
        <f t="shared" si="1"/>
        <v>макет</v>
      </c>
      <c r="O38" s="193">
        <v>3</v>
      </c>
      <c r="P38" s="145"/>
      <c r="Q38" s="145"/>
      <c r="R38" s="145"/>
      <c r="S38" s="145"/>
      <c r="T38" s="145"/>
      <c r="U38" s="145"/>
    </row>
    <row r="39" ht="19.5" customHeight="1" spans="1:21">
      <c r="A39" s="145"/>
      <c r="B39" s="176" t="str">
        <f>главная!A45</f>
        <v>системой РЭБ "черный глаз" подавлено</v>
      </c>
      <c r="C39" s="174">
        <f>главная!I45</f>
        <v>0</v>
      </c>
      <c r="D39" s="145"/>
      <c r="E39" s="161" t="str">
        <f>главная!B59</f>
        <v>ПВХ-5Т</v>
      </c>
      <c r="F39" s="174">
        <f>SUMIFS('8 (Отряд)'!$I$1:$I$1812,'8 (Отряд)'!$H$1:$H$1812,"ПВХ-5Т",'8 (Отряд)'!$M$1:$M$1812,"уничтожение",'8 (Отряд)'!$N$1:$N$1812,"уничтожено")+SUMIFS('8 (Отряд)'!$I$1:$I$1812,'8 (Отряд)'!$H$1:$H$1812,"ПВХ-5Т",'8 (Отряд)'!$M$1:$M$1812,"уничтожение",'8 (Отряд)'!$N$1:$N$1812,"поражено")</f>
        <v>0</v>
      </c>
      <c r="G39" s="145"/>
      <c r="H39" s="177" t="s">
        <v>126</v>
      </c>
      <c r="I39" s="174">
        <f t="shared" si="0"/>
        <v>2568</v>
      </c>
      <c r="J39" s="145"/>
      <c r="K39" s="145"/>
      <c r="L39" s="145"/>
      <c r="M39" s="163"/>
      <c r="N39" s="195" t="str">
        <f t="shared" si="1"/>
        <v> РЭБ "черный глаз" подавлено</v>
      </c>
      <c r="O39" s="196">
        <v>2568</v>
      </c>
      <c r="P39" s="145"/>
      <c r="Q39" s="145"/>
      <c r="R39" s="145"/>
      <c r="S39" s="145"/>
      <c r="T39" s="145"/>
      <c r="U39" s="145"/>
    </row>
    <row r="40" ht="19.5" customHeight="1" spans="2:6">
      <c r="B40" s="178"/>
      <c r="C40" s="178"/>
      <c r="E40" s="161" t="str">
        <f>главная!B60</f>
        <v>Молния-2</v>
      </c>
      <c r="F40" s="174">
        <f>SUMIFS('8 (Отряд)'!$I$1:$I$1812,'8 (Отряд)'!$H$1:$H$1812,"Молния-2",'8 (Отряд)'!$M$1:$M$1812,"уничтожение",'8 (Отряд)'!$N$1:$N$1812,"уничтожено")+SUMIFS('8 (Отряд)'!$I$1:$I$1812,'8 (Отряд)'!$H$1:$H$1812,"Молния-2",'8 (Отряд)'!$M$1:$M$1812,"уничтожение",'8 (Отряд)'!$N$1:$N$1812,"поражено")</f>
        <v>0</v>
      </c>
    </row>
    <row r="41" ht="19.5" customHeight="1" spans="2:6">
      <c r="B41" s="179"/>
      <c r="C41" s="179"/>
      <c r="E41" s="161" t="str">
        <f>главная!B61</f>
        <v>Молния-2ДТ</v>
      </c>
      <c r="F41" s="175">
        <f>SUMIFS('8 (Отряд)'!$I$1:$I$1812,'8 (Отряд)'!$H$1:$H$1812,"Молния-2ДТ",'8 (Отряд)'!$M$1:$M$1812,"уничтожение",'8 (Отряд)'!$N$1:$N$1812,"уничтожено")+SUMIFS('8 (Отряд)'!$I$1:$I$1812,'8 (Отряд)'!$H$1:$H$1812,"Молния-2ДТ",'8 (Отряд)'!$M$1:$M$1812,"уничтожение",'8 (Отряд)'!$N$1:$N$1812,"поражено")</f>
        <v>0</v>
      </c>
    </row>
    <row r="42" ht="19.5" customHeight="1" spans="2:6">
      <c r="B42" s="179"/>
      <c r="C42" s="179"/>
      <c r="E42" s="161" t="str">
        <f>главная!B62</f>
        <v>Ш-10</v>
      </c>
      <c r="F42" s="180">
        <f>SUMIFS('8 (Отряд)'!$I$1:$I$1812,'8 (Отряд)'!$H$1:$H$1812,"Ш-10",'8 (Отряд)'!$M$1:$M$1812,"уничтожение",'8 (Отряд)'!$N$1:$N$1812,"уничтожено")+SUMIFS('8 (Отряд)'!$I$1:$I$1812,'8 (Отряд)'!$H$1:$H$1812,"Ш-10",'8 (Отряд)'!$M$1:$M$1812,"уничтожение",'8 (Отряд)'!$N$1:$N$1812,"поражено")</f>
        <v>0</v>
      </c>
    </row>
    <row r="43" ht="19.5" customHeight="1" spans="2:6">
      <c r="B43" s="179"/>
      <c r="C43" s="179"/>
      <c r="E43" s="161" t="str">
        <f>главная!B63</f>
        <v>Х-51</v>
      </c>
      <c r="F43" s="175">
        <f>SUMIFS('8 (Отряд)'!$I$1:$I$1812,'8 (Отряд)'!$H$1:$H$1812,"Х-51",'8 (Отряд)'!$M$1:$M$1812,"уничтожение",'8 (Отряд)'!$N$1:$N$1812,"уничтожено")+SUMIFS('8 (Отряд)'!$I$1:$I$1812,'8 (Отряд)'!$H$1:$H$1812,"Х-51",'8 (Отряд)'!$M$1:$M$1812,"уничтожение",'8 (Отряд)'!$N$1:$N$1812,"поражено")</f>
        <v>0</v>
      </c>
    </row>
    <row r="44" ht="19.5" customHeight="1" spans="2:6">
      <c r="B44" s="179"/>
      <c r="C44" s="179"/>
      <c r="E44" s="161" t="str">
        <f>главная!B64</f>
        <v>Х-52</v>
      </c>
      <c r="F44" s="175">
        <f>SUMIFS('8 (Отряд)'!$I$1:$I$1812,'8 (Отряд)'!$H$1:$H$1812,"Х-52",'8 (Отряд)'!$M$1:$M$1812,"уничтожение",'8 (Отряд)'!$N$1:$N$1812,"уничтожено")+SUMIFS('8 (Отряд)'!$I$1:$I$1812,'8 (Отряд)'!$H$1:$H$1812,"Х-52",'8 (Отряд)'!$M$1:$M$1812,"уничтожение",'8 (Отряд)'!$N$1:$N$1812,"поражено")</f>
        <v>0</v>
      </c>
    </row>
    <row r="45" ht="19.5" customHeight="1" spans="2:6">
      <c r="B45" s="181"/>
      <c r="C45" s="179"/>
      <c r="E45" s="161" t="str">
        <f>главная!B65</f>
        <v>Скальпель</v>
      </c>
      <c r="F45" s="175">
        <f>SUMIFS('8 (Отряд)'!$I$1:$I$1812,'8 (Отряд)'!$H$1:$H$1812,"Скальпель",'8 (Отряд)'!$M$1:$M$1812,"уничтожение",'8 (Отряд)'!$N$1:$N$1812,"уничтожено")+SUMIFS('8 (Отряд)'!$I$1:$I$1812,'8 (Отряд)'!$H$1:$H$1812,"Скальпель",'8 (Отряд)'!$M$1:$M$1812,"уничтожение",'8 (Отряд)'!$N$1:$N$1812,"поражено")</f>
        <v>0</v>
      </c>
    </row>
    <row r="46" ht="19.5" customHeight="1" spans="2:6">
      <c r="B46" s="179"/>
      <c r="C46" s="179"/>
      <c r="E46" s="161" t="str">
        <f>главная!B66</f>
        <v>Утка Д</v>
      </c>
      <c r="F46" s="175">
        <f>SUMIFS('8 (Отряд)'!$I$1:$I$1812,'8 (Отряд)'!$H$1:$H$1812,"Утка Д",'8 (Отряд)'!$M$1:$M$1812,"уничтожение",'8 (Отряд)'!$N$1:$N$1812,"уничтожено")+SUMIFS('8 (Отряд)'!$I$1:$I$1812,'8 (Отряд)'!$H$1:$H$1812,"Утка Д",'8 (Отряд)'!$M$1:$M$1812,"уничтожение",'8 (Отряд)'!$N$1:$N$1812,"поражено")</f>
        <v>0</v>
      </c>
    </row>
    <row r="47" ht="19.5" customHeight="1" spans="2:6">
      <c r="B47" s="179"/>
      <c r="C47" s="179"/>
      <c r="E47" s="174" t="str">
        <f>главная!B67</f>
        <v>Утка Н</v>
      </c>
      <c r="F47" s="175">
        <f>SUMIFS('8 (Отряд)'!$I$1:$I$1812,'8 (Отряд)'!$H$1:$H$1812,"Утка Н",'8 (Отряд)'!$M$1:$M$1812,"уничтожение",'8 (Отряд)'!$N$1:$N$1812,"уничтожено")+SUMIFS('8 (Отряд)'!$I$1:$I$1812,'8 (Отряд)'!$H$1:$H$1812,"Утка Н",'8 (Отряд)'!$M$1:$M$1812,"уничтожение",'8 (Отряд)'!$N$1:$N$1812,"поражено")</f>
        <v>0</v>
      </c>
    </row>
    <row r="48" ht="18.75" customHeight="1" spans="2:3">
      <c r="B48" s="179"/>
      <c r="C48" s="179"/>
    </row>
    <row r="49" ht="18.75" customHeight="1" spans="2:3">
      <c r="B49" s="179"/>
      <c r="C49" s="179"/>
    </row>
  </sheetData>
  <mergeCells count="14">
    <mergeCell ref="E2:G2"/>
    <mergeCell ref="N2:U2"/>
    <mergeCell ref="E3:G3"/>
    <mergeCell ref="N3:U3"/>
    <mergeCell ref="B5:D5"/>
    <mergeCell ref="E5:G5"/>
    <mergeCell ref="H5:I5"/>
    <mergeCell ref="E6:G6"/>
    <mergeCell ref="E27:G27"/>
    <mergeCell ref="E28:G28"/>
    <mergeCell ref="Q7:U30"/>
    <mergeCell ref="B2:C3"/>
    <mergeCell ref="N4:O6"/>
    <mergeCell ref="Q4:U6"/>
  </mergeCells>
  <dataValidations count="1">
    <dataValidation type="list" allowBlank="1" sqref="B7:B39 H7:H38 N7:N39">
      <formula1>характер</formula1>
    </dataValidation>
  </dataValidations>
  <pageMargins left="0.236111111111111" right="0.236111111111111" top="0.747916666666667" bottom="0.747916666666667" header="0.511811023622047" footer="0.511811023622047"/>
  <pageSetup paperSize="9" scale="51" fitToWidth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W75"/>
  <sheetViews>
    <sheetView zoomScale="70" zoomScaleNormal="70" topLeftCell="A6" workbookViewId="0">
      <pane xSplit="1" topLeftCell="B1" activePane="topRight" state="frozen"/>
      <selection/>
      <selection pane="topRight" activeCell="BZ38" sqref="BZ38"/>
    </sheetView>
  </sheetViews>
  <sheetFormatPr defaultColWidth="9" defaultRowHeight="15"/>
  <cols>
    <col min="1" max="1" width="22" customWidth="1"/>
    <col min="2" max="2" width="15.5047619047619" customWidth="1"/>
    <col min="3" max="3" width="10.2857142857143" customWidth="1"/>
    <col min="4" max="4" width="10.6095238095238" customWidth="1"/>
    <col min="5" max="59" width="8.57142857142857" customWidth="1"/>
    <col min="60" max="60" width="10" customWidth="1"/>
    <col min="61" max="119" width="8.57142857142857" customWidth="1"/>
  </cols>
  <sheetData>
    <row r="1" ht="23.25" customHeight="1" spans="1:97">
      <c r="A1" s="106" t="s">
        <v>127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</row>
    <row r="2" ht="15.75" customHeight="1" spans="1:151">
      <c r="A2" s="108" t="s">
        <v>128</v>
      </c>
      <c r="B2" s="109">
        <v>45827</v>
      </c>
      <c r="C2" s="109">
        <v>45828</v>
      </c>
      <c r="D2" s="109">
        <v>45829</v>
      </c>
      <c r="E2" s="109">
        <v>45830</v>
      </c>
      <c r="F2" s="109">
        <v>45831</v>
      </c>
      <c r="G2" s="109">
        <v>45832</v>
      </c>
      <c r="H2" s="109">
        <v>45833</v>
      </c>
      <c r="I2" s="109">
        <v>45834</v>
      </c>
      <c r="J2" s="109">
        <v>45835</v>
      </c>
      <c r="K2" s="109">
        <v>45836</v>
      </c>
      <c r="L2" s="109">
        <v>45837</v>
      </c>
      <c r="M2" s="109">
        <v>45838</v>
      </c>
      <c r="N2" s="109">
        <v>45839</v>
      </c>
      <c r="O2" s="109">
        <v>45840</v>
      </c>
      <c r="P2" s="109">
        <v>45841</v>
      </c>
      <c r="Q2" s="109">
        <v>45842</v>
      </c>
      <c r="R2" s="109">
        <v>45843</v>
      </c>
      <c r="S2" s="109">
        <v>45844</v>
      </c>
      <c r="T2" s="109">
        <v>45845</v>
      </c>
      <c r="U2" s="109">
        <v>45846</v>
      </c>
      <c r="V2" s="109">
        <v>45847</v>
      </c>
      <c r="W2" s="109">
        <v>45848</v>
      </c>
      <c r="X2" s="109">
        <v>45849</v>
      </c>
      <c r="Y2" s="109">
        <v>45850</v>
      </c>
      <c r="Z2" s="109">
        <v>45851</v>
      </c>
      <c r="AA2" s="109">
        <v>45852</v>
      </c>
      <c r="AB2" s="109">
        <v>45853</v>
      </c>
      <c r="AC2" s="109">
        <v>45854</v>
      </c>
      <c r="AD2" s="109">
        <v>45855</v>
      </c>
      <c r="AE2" s="109">
        <v>45856</v>
      </c>
      <c r="AF2" s="109">
        <v>45857</v>
      </c>
      <c r="AG2" s="109">
        <v>45858</v>
      </c>
      <c r="AH2" s="109">
        <v>45859</v>
      </c>
      <c r="AI2" s="109">
        <v>45860</v>
      </c>
      <c r="AJ2" s="109">
        <v>45861</v>
      </c>
      <c r="AK2" s="109">
        <v>45862</v>
      </c>
      <c r="AL2" s="109">
        <v>45863</v>
      </c>
      <c r="AM2" s="109">
        <v>45864</v>
      </c>
      <c r="AN2" s="109">
        <v>45865</v>
      </c>
      <c r="AO2" s="109">
        <v>45866</v>
      </c>
      <c r="AP2" s="109">
        <v>45867</v>
      </c>
      <c r="AQ2" s="109">
        <v>45868</v>
      </c>
      <c r="AR2" s="109">
        <v>45869</v>
      </c>
      <c r="AS2" s="109">
        <v>45870</v>
      </c>
      <c r="AT2" s="109">
        <v>45871</v>
      </c>
      <c r="AU2" s="109">
        <v>45872</v>
      </c>
      <c r="AV2" s="109">
        <v>45873</v>
      </c>
      <c r="AW2" s="109">
        <v>45874</v>
      </c>
      <c r="AX2" s="109">
        <v>45875</v>
      </c>
      <c r="AY2" s="109">
        <v>45876</v>
      </c>
      <c r="AZ2" s="109">
        <v>45877</v>
      </c>
      <c r="BA2" s="109">
        <v>45878</v>
      </c>
      <c r="BB2" s="109">
        <v>45879</v>
      </c>
      <c r="BC2" s="109">
        <v>45880</v>
      </c>
      <c r="BD2" s="109">
        <v>45881</v>
      </c>
      <c r="BE2" s="109">
        <v>45882</v>
      </c>
      <c r="BF2" s="109">
        <v>45883</v>
      </c>
      <c r="BG2" s="109">
        <v>45884</v>
      </c>
      <c r="BH2" s="109">
        <v>45885</v>
      </c>
      <c r="BI2" s="109">
        <v>45886</v>
      </c>
      <c r="BJ2" s="109">
        <v>45887</v>
      </c>
      <c r="BK2" s="109">
        <v>45888</v>
      </c>
      <c r="BL2" s="109">
        <v>45889</v>
      </c>
      <c r="BM2" s="109">
        <v>45890</v>
      </c>
      <c r="BN2" s="109">
        <v>45891</v>
      </c>
      <c r="BO2" s="109">
        <v>45892</v>
      </c>
      <c r="BP2" s="109">
        <v>45893</v>
      </c>
      <c r="BQ2" s="109">
        <v>45894</v>
      </c>
      <c r="BR2" s="109">
        <v>45895</v>
      </c>
      <c r="BS2" s="109">
        <v>45896</v>
      </c>
      <c r="BT2" s="109">
        <v>45897</v>
      </c>
      <c r="BU2" s="109">
        <v>45898</v>
      </c>
      <c r="BV2" s="109">
        <v>45899</v>
      </c>
      <c r="BW2" s="109">
        <v>45900</v>
      </c>
      <c r="BX2" s="109">
        <v>45901</v>
      </c>
      <c r="BY2" s="109">
        <v>45902</v>
      </c>
      <c r="BZ2" s="109">
        <v>45903</v>
      </c>
      <c r="CA2" s="109">
        <v>45904</v>
      </c>
      <c r="CB2" s="109">
        <v>45905</v>
      </c>
      <c r="CC2" s="109">
        <v>45906</v>
      </c>
      <c r="CD2" s="109">
        <v>45907</v>
      </c>
      <c r="CE2" s="109">
        <v>45908</v>
      </c>
      <c r="CF2" s="109">
        <v>45909</v>
      </c>
      <c r="CG2" s="109">
        <v>45910</v>
      </c>
      <c r="CH2" s="109">
        <v>45911</v>
      </c>
      <c r="CI2" s="109">
        <v>45912</v>
      </c>
      <c r="CJ2" s="109">
        <v>45913</v>
      </c>
      <c r="CK2" s="109">
        <v>45914</v>
      </c>
      <c r="CL2" s="109">
        <v>45915</v>
      </c>
      <c r="CM2" s="109">
        <v>45916</v>
      </c>
      <c r="CN2" s="109">
        <v>45917</v>
      </c>
      <c r="CO2" s="109">
        <v>45918</v>
      </c>
      <c r="CP2" s="109">
        <v>45919</v>
      </c>
      <c r="CQ2" s="109">
        <v>45920</v>
      </c>
      <c r="CR2" s="109">
        <v>45921</v>
      </c>
      <c r="CS2" s="109">
        <v>45922</v>
      </c>
      <c r="CT2" s="109">
        <v>45923</v>
      </c>
      <c r="CU2" s="109">
        <v>45924</v>
      </c>
      <c r="CV2" s="109">
        <v>45925</v>
      </c>
      <c r="CW2" s="109">
        <v>45926</v>
      </c>
      <c r="CX2" s="109">
        <v>45927</v>
      </c>
      <c r="CY2" s="109">
        <v>45928</v>
      </c>
      <c r="CZ2" s="109">
        <v>45929</v>
      </c>
      <c r="DA2" s="109">
        <v>45930</v>
      </c>
      <c r="DB2" s="109">
        <v>45931</v>
      </c>
      <c r="DC2" s="109">
        <v>45932</v>
      </c>
      <c r="DD2" s="109">
        <v>45933</v>
      </c>
      <c r="DE2" s="109">
        <v>45934</v>
      </c>
      <c r="DF2" s="109">
        <v>45935</v>
      </c>
      <c r="DG2" s="109">
        <v>45936</v>
      </c>
      <c r="DH2" s="109">
        <v>45937</v>
      </c>
      <c r="DI2" s="109">
        <v>45938</v>
      </c>
      <c r="DJ2" s="109">
        <v>45939</v>
      </c>
      <c r="DK2" s="109">
        <v>45940</v>
      </c>
      <c r="DL2" s="109">
        <v>45941</v>
      </c>
      <c r="DM2" s="109">
        <v>45942</v>
      </c>
      <c r="DN2" s="109">
        <v>45943</v>
      </c>
      <c r="DO2" s="109">
        <v>45944</v>
      </c>
      <c r="DP2" s="109">
        <v>45945</v>
      </c>
      <c r="DQ2" s="109">
        <v>45946</v>
      </c>
      <c r="DR2" s="109">
        <v>45947</v>
      </c>
      <c r="DS2" s="109">
        <v>45948</v>
      </c>
      <c r="DT2" s="109">
        <v>45949</v>
      </c>
      <c r="DU2" s="109">
        <v>45950</v>
      </c>
      <c r="DV2" s="109">
        <v>45951</v>
      </c>
      <c r="DW2" s="109">
        <v>45952</v>
      </c>
      <c r="DX2" s="109">
        <v>45953</v>
      </c>
      <c r="DY2" s="109">
        <v>45954</v>
      </c>
      <c r="DZ2" s="109">
        <v>45955</v>
      </c>
      <c r="EA2" s="109">
        <v>45956</v>
      </c>
      <c r="EB2" s="109">
        <v>45957</v>
      </c>
      <c r="EC2" s="109">
        <v>45958</v>
      </c>
      <c r="ED2" s="109">
        <v>45959</v>
      </c>
      <c r="EE2" s="109">
        <v>45960</v>
      </c>
      <c r="EF2" s="109">
        <v>45961</v>
      </c>
      <c r="EG2" s="109">
        <v>45962</v>
      </c>
      <c r="EH2" s="109">
        <v>45963</v>
      </c>
      <c r="EI2" s="109">
        <v>45964</v>
      </c>
      <c r="EJ2" s="109">
        <v>45965</v>
      </c>
      <c r="EK2" s="109">
        <v>45966</v>
      </c>
      <c r="EL2" s="109">
        <v>45967</v>
      </c>
      <c r="EM2" s="109">
        <v>45968</v>
      </c>
      <c r="EN2" s="109">
        <v>45969</v>
      </c>
      <c r="EO2" s="109">
        <v>45970</v>
      </c>
      <c r="EP2" s="109">
        <v>45971</v>
      </c>
      <c r="EQ2" s="109">
        <v>45972</v>
      </c>
      <c r="ER2" s="109">
        <v>45973</v>
      </c>
      <c r="ES2" s="109">
        <v>45974</v>
      </c>
      <c r="ET2" s="109">
        <v>45975</v>
      </c>
      <c r="EU2" s="109">
        <v>45976</v>
      </c>
    </row>
    <row r="3" ht="15.75" customHeight="1" spans="1:151">
      <c r="A3" s="110" t="s">
        <v>129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31"/>
      <c r="O3" s="131"/>
      <c r="P3" s="112">
        <v>1</v>
      </c>
      <c r="Q3" s="112">
        <v>3</v>
      </c>
      <c r="R3" s="112">
        <v>2</v>
      </c>
      <c r="S3" s="112">
        <v>4</v>
      </c>
      <c r="T3" s="112">
        <v>5</v>
      </c>
      <c r="U3" s="112">
        <v>5</v>
      </c>
      <c r="V3" s="112">
        <v>2</v>
      </c>
      <c r="W3" s="112">
        <v>4</v>
      </c>
      <c r="X3" s="112">
        <v>6</v>
      </c>
      <c r="Y3" s="112">
        <v>3</v>
      </c>
      <c r="Z3" s="112">
        <v>9</v>
      </c>
      <c r="AA3" s="137">
        <v>5</v>
      </c>
      <c r="AB3" s="137">
        <v>5</v>
      </c>
      <c r="AC3" s="137">
        <v>6</v>
      </c>
      <c r="AD3" s="137"/>
      <c r="AE3" s="111"/>
      <c r="AF3" s="111"/>
      <c r="AG3" s="111"/>
      <c r="AH3" s="111"/>
      <c r="AI3" s="111"/>
      <c r="AJ3" s="111"/>
      <c r="AK3" s="111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>
        <v>4</v>
      </c>
      <c r="BI3" s="140">
        <v>13</v>
      </c>
      <c r="BJ3" s="140">
        <v>12</v>
      </c>
      <c r="BK3" s="140">
        <v>7</v>
      </c>
      <c r="BL3" s="140">
        <v>11</v>
      </c>
      <c r="BM3" s="140">
        <v>12</v>
      </c>
      <c r="BN3" s="140">
        <v>5</v>
      </c>
      <c r="BO3" s="140">
        <v>6</v>
      </c>
      <c r="BP3" s="140">
        <v>5</v>
      </c>
      <c r="BQ3" s="140">
        <v>9</v>
      </c>
      <c r="BR3" s="140">
        <v>5</v>
      </c>
      <c r="BS3" s="140">
        <v>6</v>
      </c>
      <c r="BT3" s="140">
        <v>10</v>
      </c>
      <c r="BU3" s="140">
        <v>8</v>
      </c>
      <c r="BV3" s="140">
        <v>11</v>
      </c>
      <c r="BW3" s="140">
        <v>8</v>
      </c>
      <c r="BX3" s="140">
        <v>8</v>
      </c>
      <c r="BY3" s="140">
        <v>8</v>
      </c>
      <c r="BZ3" s="140">
        <v>6</v>
      </c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0"/>
      <c r="CY3" s="140"/>
      <c r="CZ3" s="140"/>
      <c r="DA3" s="140"/>
      <c r="DB3" s="140"/>
      <c r="DC3" s="140"/>
      <c r="DD3" s="140"/>
      <c r="DE3" s="140"/>
      <c r="DF3" s="140"/>
      <c r="DG3" s="140"/>
      <c r="DH3" s="140"/>
      <c r="DI3" s="140"/>
      <c r="DJ3" s="140"/>
      <c r="DK3" s="140"/>
      <c r="DL3" s="140"/>
      <c r="DM3" s="140"/>
      <c r="DN3" s="140"/>
      <c r="DO3" s="140"/>
      <c r="DP3" s="140"/>
      <c r="DQ3" s="140"/>
      <c r="DR3" s="140"/>
      <c r="DS3" s="140"/>
      <c r="DT3" s="140"/>
      <c r="DU3" s="140"/>
      <c r="DV3" s="140"/>
      <c r="DW3" s="140"/>
      <c r="DX3" s="140"/>
      <c r="DY3" s="140"/>
      <c r="DZ3" s="140"/>
      <c r="EA3" s="140"/>
      <c r="EB3" s="140"/>
      <c r="EC3" s="140"/>
      <c r="ED3" s="140"/>
      <c r="EE3" s="140"/>
      <c r="EF3" s="140"/>
      <c r="EG3" s="140"/>
      <c r="EH3" s="140"/>
      <c r="EI3" s="140"/>
      <c r="EJ3" s="140"/>
      <c r="EK3" s="140"/>
      <c r="EL3" s="140"/>
      <c r="EM3" s="140"/>
      <c r="EN3" s="140"/>
      <c r="EO3" s="140"/>
      <c r="EP3" s="140"/>
      <c r="EQ3" s="140"/>
      <c r="ER3" s="140"/>
      <c r="ES3" s="140"/>
      <c r="ET3" s="140"/>
      <c r="EU3" s="140"/>
    </row>
    <row r="4" ht="15.75" customHeight="1" spans="1:151">
      <c r="A4" s="110" t="s">
        <v>130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31"/>
      <c r="O4" s="131"/>
      <c r="P4" s="112"/>
      <c r="Q4" s="112"/>
      <c r="R4" s="112"/>
      <c r="S4" s="112"/>
      <c r="T4" s="112"/>
      <c r="U4" s="112"/>
      <c r="V4" s="112">
        <v>3</v>
      </c>
      <c r="W4" s="112"/>
      <c r="X4" s="112">
        <v>2</v>
      </c>
      <c r="Y4" s="112">
        <v>1</v>
      </c>
      <c r="Z4" s="112">
        <v>2</v>
      </c>
      <c r="AA4" s="137"/>
      <c r="AB4" s="137">
        <v>2</v>
      </c>
      <c r="AC4" s="137">
        <v>5</v>
      </c>
      <c r="AD4" s="137">
        <v>2</v>
      </c>
      <c r="AE4" s="111"/>
      <c r="AF4" s="111"/>
      <c r="AG4" s="111"/>
      <c r="AH4" s="111"/>
      <c r="AI4" s="111"/>
      <c r="AJ4" s="111"/>
      <c r="AK4" s="111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  <c r="CX4" s="140"/>
      <c r="CY4" s="140"/>
      <c r="CZ4" s="140"/>
      <c r="DA4" s="140"/>
      <c r="DB4" s="140"/>
      <c r="DC4" s="140"/>
      <c r="DD4" s="140"/>
      <c r="DE4" s="140"/>
      <c r="DF4" s="140"/>
      <c r="DG4" s="140"/>
      <c r="DH4" s="140"/>
      <c r="DI4" s="140"/>
      <c r="DJ4" s="140"/>
      <c r="DK4" s="140"/>
      <c r="DL4" s="140"/>
      <c r="DM4" s="140"/>
      <c r="DN4" s="140"/>
      <c r="DO4" s="140"/>
      <c r="DP4" s="140"/>
      <c r="DQ4" s="140"/>
      <c r="DR4" s="140"/>
      <c r="DS4" s="140"/>
      <c r="DT4" s="140"/>
      <c r="DU4" s="140"/>
      <c r="DV4" s="140"/>
      <c r="DW4" s="140"/>
      <c r="DX4" s="140"/>
      <c r="DY4" s="140"/>
      <c r="DZ4" s="140"/>
      <c r="EA4" s="140"/>
      <c r="EB4" s="140"/>
      <c r="EC4" s="140"/>
      <c r="ED4" s="140"/>
      <c r="EE4" s="140"/>
      <c r="EF4" s="140"/>
      <c r="EG4" s="140"/>
      <c r="EH4" s="140"/>
      <c r="EI4" s="140"/>
      <c r="EJ4" s="140"/>
      <c r="EK4" s="140"/>
      <c r="EL4" s="140"/>
      <c r="EM4" s="140"/>
      <c r="EN4" s="140"/>
      <c r="EO4" s="140"/>
      <c r="EP4" s="140"/>
      <c r="EQ4" s="140"/>
      <c r="ER4" s="140"/>
      <c r="ES4" s="140"/>
      <c r="ET4" s="140"/>
      <c r="EU4" s="140"/>
    </row>
    <row r="5" ht="18.75" customHeight="1" spans="1:151">
      <c r="A5" s="110" t="s">
        <v>131</v>
      </c>
      <c r="B5" s="112">
        <v>12</v>
      </c>
      <c r="C5" s="112">
        <v>10</v>
      </c>
      <c r="D5" s="112">
        <v>6</v>
      </c>
      <c r="E5" s="112">
        <v>36</v>
      </c>
      <c r="F5" s="112">
        <v>34</v>
      </c>
      <c r="G5" s="112">
        <v>21</v>
      </c>
      <c r="H5" s="112">
        <v>26</v>
      </c>
      <c r="I5" s="112">
        <v>9</v>
      </c>
      <c r="J5" s="112">
        <v>10</v>
      </c>
      <c r="K5" s="112">
        <v>31</v>
      </c>
      <c r="L5" s="112">
        <v>29</v>
      </c>
      <c r="M5" s="112">
        <v>40</v>
      </c>
      <c r="N5" s="112">
        <v>29</v>
      </c>
      <c r="O5" s="112">
        <v>24</v>
      </c>
      <c r="P5" s="112">
        <v>11</v>
      </c>
      <c r="Q5" s="112">
        <v>20</v>
      </c>
      <c r="R5" s="112">
        <v>27</v>
      </c>
      <c r="S5" s="112">
        <v>30</v>
      </c>
      <c r="T5" s="112">
        <v>44</v>
      </c>
      <c r="U5" s="112">
        <v>36</v>
      </c>
      <c r="V5" s="112">
        <v>34</v>
      </c>
      <c r="W5" s="112">
        <v>108</v>
      </c>
      <c r="X5" s="112">
        <v>47</v>
      </c>
      <c r="Y5" s="112">
        <v>55</v>
      </c>
      <c r="Z5" s="112">
        <v>61</v>
      </c>
      <c r="AA5" s="137">
        <v>64</v>
      </c>
      <c r="AB5" s="137">
        <v>35</v>
      </c>
      <c r="AC5" s="137">
        <v>74</v>
      </c>
      <c r="AD5" s="137">
        <v>102</v>
      </c>
      <c r="AE5" s="137">
        <v>57</v>
      </c>
      <c r="AF5" s="137">
        <v>48</v>
      </c>
      <c r="AG5" s="137">
        <v>35</v>
      </c>
      <c r="AH5" s="137">
        <v>34</v>
      </c>
      <c r="AI5" s="137">
        <v>11</v>
      </c>
      <c r="AJ5" s="137">
        <v>46</v>
      </c>
      <c r="AK5" s="137">
        <v>19</v>
      </c>
      <c r="AL5" s="140">
        <v>18</v>
      </c>
      <c r="AM5" s="140">
        <v>43</v>
      </c>
      <c r="AN5" s="140">
        <v>64</v>
      </c>
      <c r="AO5" s="140">
        <v>54</v>
      </c>
      <c r="AP5" s="140">
        <v>75</v>
      </c>
      <c r="AQ5" s="140">
        <v>73</v>
      </c>
      <c r="AR5" s="140">
        <v>75</v>
      </c>
      <c r="AS5" s="140">
        <v>45</v>
      </c>
      <c r="AT5" s="140">
        <v>36</v>
      </c>
      <c r="AU5" s="140">
        <v>56</v>
      </c>
      <c r="AV5" s="140">
        <v>6</v>
      </c>
      <c r="AW5" s="140">
        <v>35</v>
      </c>
      <c r="AX5" s="141">
        <f>[3]главная!D51</f>
        <v>82</v>
      </c>
      <c r="AY5" s="140">
        <v>67</v>
      </c>
      <c r="AZ5" s="140">
        <v>41</v>
      </c>
      <c r="BA5" s="140">
        <v>70</v>
      </c>
      <c r="BB5" s="140">
        <v>78</v>
      </c>
      <c r="BC5" s="140">
        <v>81</v>
      </c>
      <c r="BD5" s="140">
        <v>70</v>
      </c>
      <c r="BE5" s="140">
        <v>82</v>
      </c>
      <c r="BF5" s="140">
        <v>69</v>
      </c>
      <c r="BG5" s="140">
        <v>102</v>
      </c>
      <c r="BH5" s="140">
        <v>104</v>
      </c>
      <c r="BI5" s="140">
        <v>105</v>
      </c>
      <c r="BJ5" s="140">
        <v>86</v>
      </c>
      <c r="BK5" s="140">
        <v>56</v>
      </c>
      <c r="BL5" s="140">
        <v>47</v>
      </c>
      <c r="BM5" s="140">
        <v>46</v>
      </c>
      <c r="BN5" s="140">
        <v>105</v>
      </c>
      <c r="BO5" s="140">
        <v>44</v>
      </c>
      <c r="BP5" s="140">
        <v>48</v>
      </c>
      <c r="BQ5" s="140">
        <v>71</v>
      </c>
      <c r="BR5" s="140">
        <v>65</v>
      </c>
      <c r="BS5" s="140">
        <v>105</v>
      </c>
      <c r="BT5" s="140">
        <v>49</v>
      </c>
      <c r="BU5" s="140">
        <v>56</v>
      </c>
      <c r="BV5" s="140">
        <v>64</v>
      </c>
      <c r="BW5" s="140">
        <v>48</v>
      </c>
      <c r="BX5" s="140">
        <v>39</v>
      </c>
      <c r="BY5" s="140">
        <v>45</v>
      </c>
      <c r="BZ5" s="140">
        <v>53</v>
      </c>
      <c r="CA5" s="140"/>
      <c r="CB5" s="140"/>
      <c r="CC5" s="140"/>
      <c r="CD5" s="140"/>
      <c r="CE5" s="140"/>
      <c r="CF5" s="140"/>
      <c r="CG5" s="140"/>
      <c r="CH5" s="140"/>
      <c r="CI5" s="140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0"/>
      <c r="DJ5" s="140"/>
      <c r="DK5" s="140"/>
      <c r="DL5" s="140"/>
      <c r="DM5" s="140"/>
      <c r="DN5" s="140"/>
      <c r="DO5" s="140"/>
      <c r="DP5" s="140"/>
      <c r="DQ5" s="140"/>
      <c r="DR5" s="140"/>
      <c r="DS5" s="140"/>
      <c r="DT5" s="140"/>
      <c r="DU5" s="140"/>
      <c r="DV5" s="140"/>
      <c r="DW5" s="140"/>
      <c r="DX5" s="140"/>
      <c r="DY5" s="140"/>
      <c r="DZ5" s="140"/>
      <c r="EA5" s="140"/>
      <c r="EB5" s="140"/>
      <c r="EC5" s="140"/>
      <c r="ED5" s="140"/>
      <c r="EE5" s="140"/>
      <c r="EF5" s="140"/>
      <c r="EG5" s="140"/>
      <c r="EH5" s="140"/>
      <c r="EI5" s="140"/>
      <c r="EJ5" s="140"/>
      <c r="EK5" s="140"/>
      <c r="EL5" s="140"/>
      <c r="EM5" s="140"/>
      <c r="EN5" s="140"/>
      <c r="EO5" s="140"/>
      <c r="EP5" s="140"/>
      <c r="EQ5" s="140"/>
      <c r="ER5" s="140"/>
      <c r="ES5" s="140"/>
      <c r="ET5" s="140"/>
      <c r="EU5" s="140"/>
    </row>
    <row r="6" ht="15.75" customHeight="1" spans="1:151">
      <c r="A6" s="110" t="s">
        <v>132</v>
      </c>
      <c r="B6" s="112"/>
      <c r="C6" s="112">
        <v>1</v>
      </c>
      <c r="D6" s="112">
        <v>18</v>
      </c>
      <c r="E6" s="112">
        <v>26</v>
      </c>
      <c r="F6" s="112">
        <v>17</v>
      </c>
      <c r="G6" s="112">
        <v>25</v>
      </c>
      <c r="H6" s="112">
        <v>24</v>
      </c>
      <c r="I6" s="112">
        <v>18</v>
      </c>
      <c r="J6" s="112">
        <v>29</v>
      </c>
      <c r="K6" s="112">
        <v>26</v>
      </c>
      <c r="L6" s="112">
        <v>20</v>
      </c>
      <c r="M6" s="112">
        <v>38</v>
      </c>
      <c r="N6" s="112">
        <v>35</v>
      </c>
      <c r="O6" s="112">
        <v>25</v>
      </c>
      <c r="P6" s="112">
        <v>26</v>
      </c>
      <c r="Q6" s="112">
        <v>31</v>
      </c>
      <c r="R6" s="112">
        <v>36</v>
      </c>
      <c r="S6" s="112">
        <v>45</v>
      </c>
      <c r="T6" s="112">
        <v>51</v>
      </c>
      <c r="U6" s="112">
        <v>51</v>
      </c>
      <c r="V6" s="112">
        <v>53</v>
      </c>
      <c r="W6" s="112">
        <v>51</v>
      </c>
      <c r="X6" s="112">
        <v>37</v>
      </c>
      <c r="Y6" s="112">
        <v>40</v>
      </c>
      <c r="Z6" s="112">
        <v>44</v>
      </c>
      <c r="AA6" s="137">
        <v>34</v>
      </c>
      <c r="AB6" s="137">
        <v>35</v>
      </c>
      <c r="AC6" s="137">
        <v>46</v>
      </c>
      <c r="AD6" s="137">
        <v>45</v>
      </c>
      <c r="AE6" s="137">
        <v>55</v>
      </c>
      <c r="AF6" s="137">
        <v>47</v>
      </c>
      <c r="AG6" s="137">
        <v>35</v>
      </c>
      <c r="AH6" s="137">
        <v>34</v>
      </c>
      <c r="AI6" s="137">
        <v>22</v>
      </c>
      <c r="AJ6" s="137">
        <v>23</v>
      </c>
      <c r="AK6" s="137">
        <v>32</v>
      </c>
      <c r="AL6" s="140">
        <v>30</v>
      </c>
      <c r="AM6" s="140">
        <v>52</v>
      </c>
      <c r="AN6" s="140">
        <v>65</v>
      </c>
      <c r="AO6" s="140">
        <v>74</v>
      </c>
      <c r="AP6" s="140">
        <v>58</v>
      </c>
      <c r="AQ6" s="140">
        <v>56</v>
      </c>
      <c r="AR6" s="140">
        <v>38</v>
      </c>
      <c r="AS6" s="140">
        <v>46</v>
      </c>
      <c r="AT6" s="140">
        <v>35</v>
      </c>
      <c r="AU6" s="140">
        <v>35</v>
      </c>
      <c r="AV6" s="140">
        <v>6</v>
      </c>
      <c r="AW6" s="140">
        <v>41</v>
      </c>
      <c r="AX6" s="140">
        <f>[3]главная!D52</f>
        <v>41</v>
      </c>
      <c r="AY6" s="140">
        <v>47</v>
      </c>
      <c r="AZ6" s="140">
        <v>38</v>
      </c>
      <c r="BA6" s="140">
        <v>61</v>
      </c>
      <c r="BB6" s="140">
        <v>53</v>
      </c>
      <c r="BC6" s="140">
        <v>67</v>
      </c>
      <c r="BD6" s="140">
        <v>34</v>
      </c>
      <c r="BE6" s="140">
        <v>41</v>
      </c>
      <c r="BF6" s="140">
        <v>48</v>
      </c>
      <c r="BG6" s="140">
        <v>66</v>
      </c>
      <c r="BH6" s="140">
        <v>48</v>
      </c>
      <c r="BI6" s="140">
        <v>75</v>
      </c>
      <c r="BJ6" s="140">
        <v>55</v>
      </c>
      <c r="BK6" s="140">
        <v>57</v>
      </c>
      <c r="BL6" s="140">
        <v>29</v>
      </c>
      <c r="BM6" s="140">
        <v>51</v>
      </c>
      <c r="BN6" s="140">
        <v>58</v>
      </c>
      <c r="BO6" s="140">
        <v>32</v>
      </c>
      <c r="BP6" s="140">
        <v>37</v>
      </c>
      <c r="BQ6" s="140">
        <v>42</v>
      </c>
      <c r="BR6" s="140">
        <v>58</v>
      </c>
      <c r="BS6" s="140">
        <v>58</v>
      </c>
      <c r="BT6" s="140">
        <v>67</v>
      </c>
      <c r="BU6" s="140">
        <v>67</v>
      </c>
      <c r="BV6" s="140">
        <v>62</v>
      </c>
      <c r="BW6" s="140">
        <v>58</v>
      </c>
      <c r="BX6" s="140">
        <v>60</v>
      </c>
      <c r="BY6" s="140">
        <v>45</v>
      </c>
      <c r="BZ6" s="140">
        <v>66</v>
      </c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40"/>
      <c r="CN6" s="140"/>
      <c r="CO6" s="140"/>
      <c r="CP6" s="140"/>
      <c r="CQ6" s="140"/>
      <c r="CR6" s="140"/>
      <c r="CS6" s="140"/>
      <c r="CT6" s="140"/>
      <c r="CU6" s="140"/>
      <c r="CV6" s="140"/>
      <c r="CW6" s="140"/>
      <c r="CX6" s="140"/>
      <c r="CY6" s="140"/>
      <c r="CZ6" s="140"/>
      <c r="DA6" s="140"/>
      <c r="DB6" s="140"/>
      <c r="DC6" s="140"/>
      <c r="DD6" s="140"/>
      <c r="DE6" s="140"/>
      <c r="DF6" s="140"/>
      <c r="DG6" s="140"/>
      <c r="DH6" s="140"/>
      <c r="DI6" s="140"/>
      <c r="DJ6" s="140"/>
      <c r="DK6" s="140"/>
      <c r="DL6" s="140"/>
      <c r="DM6" s="140"/>
      <c r="DN6" s="140"/>
      <c r="DO6" s="140"/>
      <c r="DP6" s="140"/>
      <c r="DQ6" s="140"/>
      <c r="DR6" s="140"/>
      <c r="DS6" s="140"/>
      <c r="DT6" s="140"/>
      <c r="DU6" s="140"/>
      <c r="DV6" s="140"/>
      <c r="DW6" s="140"/>
      <c r="DX6" s="140"/>
      <c r="DY6" s="140"/>
      <c r="DZ6" s="140"/>
      <c r="EA6" s="140"/>
      <c r="EB6" s="140"/>
      <c r="EC6" s="140"/>
      <c r="ED6" s="140"/>
      <c r="EE6" s="140"/>
      <c r="EF6" s="140"/>
      <c r="EG6" s="140"/>
      <c r="EH6" s="140"/>
      <c r="EI6" s="140"/>
      <c r="EJ6" s="140"/>
      <c r="EK6" s="140"/>
      <c r="EL6" s="140"/>
      <c r="EM6" s="140"/>
      <c r="EN6" s="140"/>
      <c r="EO6" s="140"/>
      <c r="EP6" s="140"/>
      <c r="EQ6" s="140"/>
      <c r="ER6" s="140"/>
      <c r="ES6" s="140"/>
      <c r="ET6" s="140"/>
      <c r="EU6" s="140"/>
    </row>
    <row r="7" ht="15.75" customHeight="1" spans="1:151">
      <c r="A7" s="110" t="s">
        <v>133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31"/>
      <c r="O7" s="131"/>
      <c r="P7" s="131"/>
      <c r="Q7" s="13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40"/>
      <c r="DV7" s="140"/>
      <c r="DW7" s="140"/>
      <c r="DX7" s="140"/>
      <c r="DY7" s="140"/>
      <c r="DZ7" s="140"/>
      <c r="EA7" s="140"/>
      <c r="EB7" s="140"/>
      <c r="EC7" s="140"/>
      <c r="ED7" s="140"/>
      <c r="EE7" s="140"/>
      <c r="EF7" s="140"/>
      <c r="EG7" s="140"/>
      <c r="EH7" s="140"/>
      <c r="EI7" s="140"/>
      <c r="EJ7" s="140"/>
      <c r="EK7" s="140"/>
      <c r="EL7" s="140"/>
      <c r="EM7" s="140"/>
      <c r="EN7" s="140"/>
      <c r="EO7" s="140"/>
      <c r="EP7" s="140"/>
      <c r="EQ7" s="140"/>
      <c r="ER7" s="140"/>
      <c r="ES7" s="140"/>
      <c r="ET7" s="140"/>
      <c r="EU7" s="140"/>
    </row>
    <row r="8" ht="15.75" customHeight="1" spans="1:151">
      <c r="A8" s="110" t="s">
        <v>134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31"/>
      <c r="O8" s="131"/>
      <c r="P8" s="131"/>
      <c r="Q8" s="13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40"/>
      <c r="DG8" s="140"/>
      <c r="DH8" s="140"/>
      <c r="DI8" s="140"/>
      <c r="DJ8" s="140"/>
      <c r="DK8" s="140"/>
      <c r="DL8" s="140"/>
      <c r="DM8" s="140"/>
      <c r="DN8" s="140"/>
      <c r="DO8" s="140"/>
      <c r="DP8" s="140"/>
      <c r="DQ8" s="140"/>
      <c r="DR8" s="140"/>
      <c r="DS8" s="140"/>
      <c r="DT8" s="140"/>
      <c r="DU8" s="140"/>
      <c r="DV8" s="140"/>
      <c r="DW8" s="140"/>
      <c r="DX8" s="140"/>
      <c r="DY8" s="140"/>
      <c r="DZ8" s="140"/>
      <c r="EA8" s="140"/>
      <c r="EB8" s="140"/>
      <c r="EC8" s="140"/>
      <c r="ED8" s="140"/>
      <c r="EE8" s="140"/>
      <c r="EF8" s="140"/>
      <c r="EG8" s="140"/>
      <c r="EH8" s="140"/>
      <c r="EI8" s="140"/>
      <c r="EJ8" s="140"/>
      <c r="EK8" s="140"/>
      <c r="EL8" s="140"/>
      <c r="EM8" s="140"/>
      <c r="EN8" s="140"/>
      <c r="EO8" s="140"/>
      <c r="EP8" s="140"/>
      <c r="EQ8" s="140"/>
      <c r="ER8" s="140"/>
      <c r="ES8" s="140"/>
      <c r="ET8" s="140"/>
      <c r="EU8" s="140"/>
    </row>
    <row r="9" ht="15.75" customHeight="1" spans="1:151">
      <c r="A9" s="110" t="s">
        <v>135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31"/>
      <c r="O9" s="131"/>
      <c r="P9" s="131"/>
      <c r="Q9" s="13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0"/>
      <c r="CY9" s="140"/>
      <c r="CZ9" s="140"/>
      <c r="DA9" s="140"/>
      <c r="DB9" s="140"/>
      <c r="DC9" s="140"/>
      <c r="DD9" s="140"/>
      <c r="DE9" s="140"/>
      <c r="DF9" s="140"/>
      <c r="DG9" s="140"/>
      <c r="DH9" s="140"/>
      <c r="DI9" s="140"/>
      <c r="DJ9" s="140"/>
      <c r="DK9" s="140"/>
      <c r="DL9" s="140"/>
      <c r="DM9" s="140"/>
      <c r="DN9" s="140"/>
      <c r="DO9" s="140"/>
      <c r="DP9" s="140"/>
      <c r="DQ9" s="140"/>
      <c r="DR9" s="140"/>
      <c r="DS9" s="140"/>
      <c r="DT9" s="140"/>
      <c r="DU9" s="140"/>
      <c r="DV9" s="140"/>
      <c r="DW9" s="140"/>
      <c r="DX9" s="140"/>
      <c r="DY9" s="140"/>
      <c r="DZ9" s="140"/>
      <c r="EA9" s="140"/>
      <c r="EB9" s="140"/>
      <c r="EC9" s="140"/>
      <c r="ED9" s="140"/>
      <c r="EE9" s="140"/>
      <c r="EF9" s="140"/>
      <c r="EG9" s="140"/>
      <c r="EH9" s="140"/>
      <c r="EI9" s="140"/>
      <c r="EJ9" s="140"/>
      <c r="EK9" s="140"/>
      <c r="EL9" s="140"/>
      <c r="EM9" s="140"/>
      <c r="EN9" s="140"/>
      <c r="EO9" s="140"/>
      <c r="EP9" s="140"/>
      <c r="EQ9" s="140"/>
      <c r="ER9" s="140"/>
      <c r="ES9" s="140"/>
      <c r="ET9" s="140"/>
      <c r="EU9" s="140"/>
    </row>
    <row r="10" ht="15.75" customHeight="1" spans="1:151">
      <c r="A10" s="110" t="s">
        <v>136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31"/>
      <c r="O10" s="131"/>
      <c r="P10" s="131"/>
      <c r="Q10" s="13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>
        <v>10</v>
      </c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>
        <v>4</v>
      </c>
      <c r="BT10" s="140">
        <v>5</v>
      </c>
      <c r="BU10" s="140">
        <v>16</v>
      </c>
      <c r="BV10" s="140">
        <v>8</v>
      </c>
      <c r="BW10" s="140">
        <v>19</v>
      </c>
      <c r="BX10" s="140">
        <v>18</v>
      </c>
      <c r="BY10" s="140">
        <v>1</v>
      </c>
      <c r="BZ10" s="140"/>
      <c r="CA10" s="140"/>
      <c r="CB10" s="140"/>
      <c r="CC10" s="140"/>
      <c r="CD10" s="140"/>
      <c r="CE10" s="140"/>
      <c r="CF10" s="140"/>
      <c r="CG10" s="140"/>
      <c r="CH10" s="140"/>
      <c r="CI10" s="140"/>
      <c r="CJ10" s="140"/>
      <c r="CK10" s="140"/>
      <c r="CL10" s="140"/>
      <c r="CM10" s="140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40"/>
      <c r="DF10" s="140"/>
      <c r="DG10" s="140"/>
      <c r="DH10" s="140"/>
      <c r="DI10" s="140"/>
      <c r="DJ10" s="140"/>
      <c r="DK10" s="140"/>
      <c r="DL10" s="140"/>
      <c r="DM10" s="140"/>
      <c r="DN10" s="140"/>
      <c r="DO10" s="140"/>
      <c r="DP10" s="140"/>
      <c r="DQ10" s="140"/>
      <c r="DR10" s="140"/>
      <c r="DS10" s="140"/>
      <c r="DT10" s="140"/>
      <c r="DU10" s="140"/>
      <c r="DV10" s="140"/>
      <c r="DW10" s="140"/>
      <c r="DX10" s="140"/>
      <c r="DY10" s="140"/>
      <c r="DZ10" s="140"/>
      <c r="EA10" s="140"/>
      <c r="EB10" s="140"/>
      <c r="EC10" s="140"/>
      <c r="ED10" s="140"/>
      <c r="EE10" s="140"/>
      <c r="EF10" s="140"/>
      <c r="EG10" s="140"/>
      <c r="EH10" s="140"/>
      <c r="EI10" s="140"/>
      <c r="EJ10" s="140"/>
      <c r="EK10" s="140"/>
      <c r="EL10" s="140"/>
      <c r="EM10" s="140"/>
      <c r="EN10" s="140"/>
      <c r="EO10" s="140"/>
      <c r="EP10" s="140"/>
      <c r="EQ10" s="140"/>
      <c r="ER10" s="140"/>
      <c r="ES10" s="140"/>
      <c r="ET10" s="140"/>
      <c r="EU10" s="140"/>
    </row>
    <row r="11" ht="15.75" customHeight="1" spans="1:151">
      <c r="A11" s="110" t="s">
        <v>137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31"/>
      <c r="O11" s="131"/>
      <c r="P11" s="131"/>
      <c r="Q11" s="13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40"/>
      <c r="DG11" s="140"/>
      <c r="DH11" s="140"/>
      <c r="DI11" s="140"/>
      <c r="DJ11" s="140"/>
      <c r="DK11" s="140"/>
      <c r="DL11" s="140"/>
      <c r="DM11" s="140"/>
      <c r="DN11" s="140"/>
      <c r="DO11" s="140"/>
      <c r="DP11" s="140"/>
      <c r="DQ11" s="140"/>
      <c r="DR11" s="140"/>
      <c r="DS11" s="140"/>
      <c r="DT11" s="140"/>
      <c r="DU11" s="140"/>
      <c r="DV11" s="140"/>
      <c r="DW11" s="140"/>
      <c r="DX11" s="140"/>
      <c r="DY11" s="140"/>
      <c r="DZ11" s="140"/>
      <c r="EA11" s="140"/>
      <c r="EB11" s="140"/>
      <c r="EC11" s="140"/>
      <c r="ED11" s="140"/>
      <c r="EE11" s="140"/>
      <c r="EF11" s="140"/>
      <c r="EG11" s="140"/>
      <c r="EH11" s="140"/>
      <c r="EI11" s="140"/>
      <c r="EJ11" s="140"/>
      <c r="EK11" s="140"/>
      <c r="EL11" s="140"/>
      <c r="EM11" s="140"/>
      <c r="EN11" s="140"/>
      <c r="EO11" s="140"/>
      <c r="EP11" s="140"/>
      <c r="EQ11" s="140"/>
      <c r="ER11" s="140"/>
      <c r="ES11" s="140"/>
      <c r="ET11" s="140"/>
      <c r="EU11" s="140"/>
    </row>
    <row r="12" ht="15.75" customHeight="1" spans="1:151">
      <c r="A12" s="110" t="s">
        <v>138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  <c r="EU12" s="140"/>
    </row>
    <row r="13" ht="15.75" customHeight="1" spans="1:151">
      <c r="A13" s="110" t="s">
        <v>139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0"/>
      <c r="CH13" s="140"/>
      <c r="CI13" s="140"/>
      <c r="CJ13" s="140"/>
      <c r="CK13" s="140"/>
      <c r="CL13" s="140"/>
      <c r="CM13" s="140"/>
      <c r="CN13" s="140"/>
      <c r="CO13" s="140"/>
      <c r="CP13" s="140"/>
      <c r="CQ13" s="140"/>
      <c r="CR13" s="140"/>
      <c r="CS13" s="140"/>
      <c r="CT13" s="140"/>
      <c r="CU13" s="140"/>
      <c r="CV13" s="140"/>
      <c r="CW13" s="140"/>
      <c r="CX13" s="140"/>
      <c r="CY13" s="140"/>
      <c r="CZ13" s="140"/>
      <c r="DA13" s="140"/>
      <c r="DB13" s="140"/>
      <c r="DC13" s="140"/>
      <c r="DD13" s="140"/>
      <c r="DE13" s="140"/>
      <c r="DF13" s="140"/>
      <c r="DG13" s="140"/>
      <c r="DH13" s="140"/>
      <c r="DI13" s="140"/>
      <c r="DJ13" s="140"/>
      <c r="DK13" s="140"/>
      <c r="DL13" s="140"/>
      <c r="DM13" s="140"/>
      <c r="DN13" s="140"/>
      <c r="DO13" s="140"/>
      <c r="DP13" s="140"/>
      <c r="DQ13" s="140"/>
      <c r="DR13" s="140"/>
      <c r="DS13" s="140"/>
      <c r="DT13" s="140"/>
      <c r="DU13" s="140"/>
      <c r="DV13" s="140"/>
      <c r="DW13" s="140"/>
      <c r="DX13" s="140"/>
      <c r="DY13" s="140"/>
      <c r="DZ13" s="140"/>
      <c r="EA13" s="140"/>
      <c r="EB13" s="140"/>
      <c r="EC13" s="140"/>
      <c r="ED13" s="140"/>
      <c r="EE13" s="140"/>
      <c r="EF13" s="140"/>
      <c r="EG13" s="140"/>
      <c r="EH13" s="140"/>
      <c r="EI13" s="140"/>
      <c r="EJ13" s="140"/>
      <c r="EK13" s="140"/>
      <c r="EL13" s="140"/>
      <c r="EM13" s="140"/>
      <c r="EN13" s="140"/>
      <c r="EO13" s="140"/>
      <c r="EP13" s="140"/>
      <c r="EQ13" s="140"/>
      <c r="ER13" s="140"/>
      <c r="ES13" s="140"/>
      <c r="ET13" s="140"/>
      <c r="EU13" s="140"/>
    </row>
    <row r="14" ht="15.75" customHeight="1" spans="1:151">
      <c r="A14" s="110" t="s">
        <v>101</v>
      </c>
      <c r="B14" s="112"/>
      <c r="C14" s="112"/>
      <c r="D14" s="112"/>
      <c r="E14" s="112">
        <v>10</v>
      </c>
      <c r="F14" s="112">
        <v>10</v>
      </c>
      <c r="G14" s="112">
        <v>6</v>
      </c>
      <c r="H14" s="112">
        <v>13</v>
      </c>
      <c r="I14" s="112">
        <v>19</v>
      </c>
      <c r="J14" s="112">
        <v>5</v>
      </c>
      <c r="K14" s="112">
        <v>26</v>
      </c>
      <c r="L14" s="112">
        <v>21</v>
      </c>
      <c r="M14" s="112">
        <v>24</v>
      </c>
      <c r="N14" s="112">
        <v>17</v>
      </c>
      <c r="O14" s="112">
        <v>21</v>
      </c>
      <c r="P14" s="112">
        <v>7</v>
      </c>
      <c r="Q14" s="112">
        <v>8</v>
      </c>
      <c r="R14" s="112">
        <v>1</v>
      </c>
      <c r="S14" s="112">
        <v>3</v>
      </c>
      <c r="T14" s="112">
        <v>9</v>
      </c>
      <c r="U14" s="112">
        <v>25</v>
      </c>
      <c r="V14" s="112">
        <v>27</v>
      </c>
      <c r="W14" s="112">
        <v>18</v>
      </c>
      <c r="X14" s="112">
        <v>19</v>
      </c>
      <c r="Y14" s="112">
        <v>19</v>
      </c>
      <c r="Z14" s="112">
        <v>29</v>
      </c>
      <c r="AA14" s="137">
        <v>22</v>
      </c>
      <c r="AB14" s="137">
        <v>8</v>
      </c>
      <c r="AC14" s="137"/>
      <c r="AD14" s="137">
        <v>14</v>
      </c>
      <c r="AE14" s="137">
        <v>8</v>
      </c>
      <c r="AF14" s="137"/>
      <c r="AG14" s="137">
        <v>6</v>
      </c>
      <c r="AH14" s="137">
        <v>6</v>
      </c>
      <c r="AI14" s="137">
        <v>9</v>
      </c>
      <c r="AJ14" s="137">
        <v>12</v>
      </c>
      <c r="AK14" s="137">
        <v>20</v>
      </c>
      <c r="AL14" s="140">
        <v>22</v>
      </c>
      <c r="AM14" s="140">
        <v>21</v>
      </c>
      <c r="AN14" s="140">
        <v>17</v>
      </c>
      <c r="AO14" s="140">
        <v>22</v>
      </c>
      <c r="AP14" s="140">
        <v>38</v>
      </c>
      <c r="AQ14" s="140">
        <v>30</v>
      </c>
      <c r="AR14" s="140">
        <v>26</v>
      </c>
      <c r="AS14" s="140"/>
      <c r="AT14" s="140">
        <v>5</v>
      </c>
      <c r="AU14" s="140"/>
      <c r="AV14" s="140"/>
      <c r="AW14" s="140"/>
      <c r="AX14" s="140">
        <v>38</v>
      </c>
      <c r="AY14" s="140">
        <v>8</v>
      </c>
      <c r="AZ14" s="140">
        <v>31</v>
      </c>
      <c r="BA14" s="140">
        <v>38</v>
      </c>
      <c r="BB14" s="140">
        <v>34</v>
      </c>
      <c r="BC14" s="140">
        <v>33</v>
      </c>
      <c r="BD14" s="140">
        <v>29</v>
      </c>
      <c r="BE14" s="140">
        <v>38</v>
      </c>
      <c r="BF14" s="140">
        <v>24</v>
      </c>
      <c r="BG14" s="140">
        <v>33</v>
      </c>
      <c r="BH14" s="140">
        <v>39</v>
      </c>
      <c r="BI14" s="140">
        <v>40</v>
      </c>
      <c r="BJ14" s="140">
        <v>25</v>
      </c>
      <c r="BK14" s="140">
        <v>35</v>
      </c>
      <c r="BL14" s="140">
        <v>29</v>
      </c>
      <c r="BM14" s="140">
        <v>19</v>
      </c>
      <c r="BN14" s="140">
        <v>52</v>
      </c>
      <c r="BO14" s="140">
        <v>35</v>
      </c>
      <c r="BP14" s="140">
        <v>30</v>
      </c>
      <c r="BQ14" s="140">
        <v>45</v>
      </c>
      <c r="BR14" s="140">
        <v>46</v>
      </c>
      <c r="BS14" s="140">
        <v>62</v>
      </c>
      <c r="BT14" s="140">
        <v>35</v>
      </c>
      <c r="BU14" s="140">
        <v>45</v>
      </c>
      <c r="BV14" s="140">
        <v>37</v>
      </c>
      <c r="BW14" s="140">
        <v>38</v>
      </c>
      <c r="BX14" s="140">
        <v>40</v>
      </c>
      <c r="BY14" s="140">
        <v>41</v>
      </c>
      <c r="BZ14" s="140">
        <v>50</v>
      </c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  <c r="DJ14" s="140"/>
      <c r="DK14" s="140"/>
      <c r="DL14" s="140"/>
      <c r="DM14" s="140"/>
      <c r="DN14" s="140"/>
      <c r="DO14" s="140"/>
      <c r="DP14" s="140"/>
      <c r="DQ14" s="140"/>
      <c r="DR14" s="140"/>
      <c r="DS14" s="140"/>
      <c r="DT14" s="140"/>
      <c r="DU14" s="140"/>
      <c r="DV14" s="140"/>
      <c r="DW14" s="140"/>
      <c r="DX14" s="140"/>
      <c r="DY14" s="140"/>
      <c r="DZ14" s="140"/>
      <c r="EA14" s="140"/>
      <c r="EB14" s="140"/>
      <c r="EC14" s="140"/>
      <c r="ED14" s="140"/>
      <c r="EE14" s="140"/>
      <c r="EF14" s="140"/>
      <c r="EG14" s="140"/>
      <c r="EH14" s="140"/>
      <c r="EI14" s="140"/>
      <c r="EJ14" s="140"/>
      <c r="EK14" s="140"/>
      <c r="EL14" s="140"/>
      <c r="EM14" s="140"/>
      <c r="EN14" s="140"/>
      <c r="EO14" s="140"/>
      <c r="EP14" s="140"/>
      <c r="EQ14" s="140"/>
      <c r="ER14" s="140"/>
      <c r="ES14" s="140"/>
      <c r="ET14" s="140"/>
      <c r="EU14" s="140"/>
    </row>
    <row r="15" ht="15.75" customHeight="1" spans="1:151">
      <c r="A15" s="110" t="s">
        <v>90</v>
      </c>
      <c r="B15" s="112"/>
      <c r="C15" s="112"/>
      <c r="D15" s="112">
        <v>7</v>
      </c>
      <c r="E15" s="112">
        <v>5</v>
      </c>
      <c r="F15" s="112">
        <v>4</v>
      </c>
      <c r="G15" s="112">
        <v>12</v>
      </c>
      <c r="H15" s="112">
        <v>21</v>
      </c>
      <c r="I15" s="112">
        <v>23</v>
      </c>
      <c r="J15" s="112">
        <v>23</v>
      </c>
      <c r="K15" s="112">
        <v>24</v>
      </c>
      <c r="L15" s="112">
        <v>25</v>
      </c>
      <c r="M15" s="112">
        <v>9</v>
      </c>
      <c r="N15" s="112">
        <v>23</v>
      </c>
      <c r="O15" s="112">
        <v>7</v>
      </c>
      <c r="P15" s="112">
        <v>10</v>
      </c>
      <c r="Q15" s="112">
        <v>21</v>
      </c>
      <c r="R15" s="112">
        <v>2</v>
      </c>
      <c r="S15" s="112"/>
      <c r="T15" s="112">
        <v>4</v>
      </c>
      <c r="U15" s="112">
        <v>14</v>
      </c>
      <c r="V15" s="112">
        <v>10</v>
      </c>
      <c r="W15" s="112">
        <v>11</v>
      </c>
      <c r="X15" s="112">
        <v>17</v>
      </c>
      <c r="Y15" s="112">
        <v>29</v>
      </c>
      <c r="Z15" s="112">
        <v>24</v>
      </c>
      <c r="AA15" s="137">
        <v>31</v>
      </c>
      <c r="AB15" s="137">
        <v>13</v>
      </c>
      <c r="AC15" s="137">
        <v>13</v>
      </c>
      <c r="AD15" s="137">
        <v>17</v>
      </c>
      <c r="AE15" s="137"/>
      <c r="AF15" s="137">
        <v>16</v>
      </c>
      <c r="AG15" s="137"/>
      <c r="AH15" s="137">
        <v>12</v>
      </c>
      <c r="AI15" s="137">
        <v>13</v>
      </c>
      <c r="AJ15" s="137">
        <v>14</v>
      </c>
      <c r="AK15" s="137">
        <v>20</v>
      </c>
      <c r="AL15" s="140"/>
      <c r="AM15" s="140"/>
      <c r="AN15" s="140">
        <v>16</v>
      </c>
      <c r="AO15" s="140"/>
      <c r="AP15" s="140">
        <v>15</v>
      </c>
      <c r="AQ15" s="140">
        <v>2</v>
      </c>
      <c r="AR15" s="140">
        <v>16</v>
      </c>
      <c r="AS15" s="140">
        <v>19</v>
      </c>
      <c r="AT15" s="140">
        <v>15</v>
      </c>
      <c r="AU15" s="140">
        <v>11</v>
      </c>
      <c r="AV15" s="140">
        <v>15</v>
      </c>
      <c r="AW15" s="140"/>
      <c r="AX15" s="140"/>
      <c r="AY15" s="140">
        <v>21</v>
      </c>
      <c r="AZ15" s="140">
        <v>18</v>
      </c>
      <c r="BA15" s="140">
        <v>21</v>
      </c>
      <c r="BB15" s="140">
        <v>20</v>
      </c>
      <c r="BC15" s="140">
        <v>25</v>
      </c>
      <c r="BD15" s="140">
        <v>18</v>
      </c>
      <c r="BE15" s="140">
        <v>23</v>
      </c>
      <c r="BF15" s="140">
        <v>33</v>
      </c>
      <c r="BG15" s="140">
        <v>24</v>
      </c>
      <c r="BH15" s="140">
        <v>22</v>
      </c>
      <c r="BI15" s="140">
        <v>24</v>
      </c>
      <c r="BJ15" s="140">
        <v>58</v>
      </c>
      <c r="BK15" s="140">
        <v>36</v>
      </c>
      <c r="BL15" s="140">
        <v>43</v>
      </c>
      <c r="BM15" s="140">
        <v>29</v>
      </c>
      <c r="BN15" s="140">
        <v>17</v>
      </c>
      <c r="BO15" s="140">
        <v>36</v>
      </c>
      <c r="BP15" s="140">
        <v>26</v>
      </c>
      <c r="BQ15" s="140">
        <v>20</v>
      </c>
      <c r="BR15" s="140">
        <v>24</v>
      </c>
      <c r="BS15" s="140">
        <v>25</v>
      </c>
      <c r="BT15" s="140">
        <v>18</v>
      </c>
      <c r="BU15" s="140">
        <v>35</v>
      </c>
      <c r="BV15" s="140">
        <v>42</v>
      </c>
      <c r="BW15" s="140">
        <v>7</v>
      </c>
      <c r="BX15" s="140">
        <v>30</v>
      </c>
      <c r="BY15" s="140">
        <v>23</v>
      </c>
      <c r="BZ15" s="140">
        <v>9</v>
      </c>
      <c r="CA15" s="140"/>
      <c r="CB15" s="140"/>
      <c r="CC15" s="140"/>
      <c r="CD15" s="140"/>
      <c r="CE15" s="140"/>
      <c r="CF15" s="140"/>
      <c r="CG15" s="140"/>
      <c r="CH15" s="140"/>
      <c r="CI15" s="140"/>
      <c r="CJ15" s="140"/>
      <c r="CK15" s="140"/>
      <c r="CL15" s="140"/>
      <c r="CM15" s="140"/>
      <c r="CN15" s="140"/>
      <c r="CO15" s="140"/>
      <c r="CP15" s="140"/>
      <c r="CQ15" s="140"/>
      <c r="CR15" s="140"/>
      <c r="CS15" s="140"/>
      <c r="CT15" s="140"/>
      <c r="CU15" s="140"/>
      <c r="CV15" s="140"/>
      <c r="CW15" s="140"/>
      <c r="CX15" s="140"/>
      <c r="CY15" s="140"/>
      <c r="CZ15" s="140"/>
      <c r="DA15" s="140"/>
      <c r="DB15" s="140"/>
      <c r="DC15" s="140"/>
      <c r="DD15" s="140"/>
      <c r="DE15" s="140"/>
      <c r="DF15" s="140"/>
      <c r="DG15" s="140"/>
      <c r="DH15" s="140"/>
      <c r="DI15" s="140"/>
      <c r="DJ15" s="140"/>
      <c r="DK15" s="140"/>
      <c r="DL15" s="140"/>
      <c r="DM15" s="140"/>
      <c r="DN15" s="140"/>
      <c r="DO15" s="140"/>
      <c r="DP15" s="140"/>
      <c r="DQ15" s="140"/>
      <c r="DR15" s="140"/>
      <c r="DS15" s="140"/>
      <c r="DT15" s="140"/>
      <c r="DU15" s="140"/>
      <c r="DV15" s="140"/>
      <c r="DW15" s="140"/>
      <c r="DX15" s="140"/>
      <c r="DY15" s="140"/>
      <c r="DZ15" s="140"/>
      <c r="EA15" s="140"/>
      <c r="EB15" s="140"/>
      <c r="EC15" s="140"/>
      <c r="ED15" s="140"/>
      <c r="EE15" s="140"/>
      <c r="EF15" s="140"/>
      <c r="EG15" s="140"/>
      <c r="EH15" s="140"/>
      <c r="EI15" s="140"/>
      <c r="EJ15" s="140"/>
      <c r="EK15" s="140"/>
      <c r="EL15" s="140"/>
      <c r="EM15" s="140"/>
      <c r="EN15" s="140"/>
      <c r="EO15" s="140"/>
      <c r="EP15" s="140"/>
      <c r="EQ15" s="140"/>
      <c r="ER15" s="140"/>
      <c r="ES15" s="140"/>
      <c r="ET15" s="140"/>
      <c r="EU15" s="140"/>
    </row>
    <row r="16" ht="15.75" customHeight="1" spans="1:151">
      <c r="A16" s="110" t="s">
        <v>140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31"/>
      <c r="S16" s="111"/>
      <c r="T16" s="13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0"/>
      <c r="BU16" s="140"/>
      <c r="BV16" s="140"/>
      <c r="BW16" s="140"/>
      <c r="BX16" s="140"/>
      <c r="BY16" s="140"/>
      <c r="BZ16" s="140"/>
      <c r="CA16" s="140"/>
      <c r="CB16" s="140"/>
      <c r="CC16" s="140"/>
      <c r="CD16" s="140"/>
      <c r="CE16" s="140"/>
      <c r="CF16" s="140"/>
      <c r="CG16" s="140"/>
      <c r="CH16" s="140"/>
      <c r="CI16" s="140"/>
      <c r="CJ16" s="140"/>
      <c r="CK16" s="140"/>
      <c r="CL16" s="140"/>
      <c r="CM16" s="140"/>
      <c r="CN16" s="140"/>
      <c r="CO16" s="140"/>
      <c r="CP16" s="140"/>
      <c r="CQ16" s="140"/>
      <c r="CR16" s="140"/>
      <c r="CS16" s="140"/>
      <c r="CT16" s="140"/>
      <c r="CU16" s="140"/>
      <c r="CV16" s="140"/>
      <c r="CW16" s="140"/>
      <c r="CX16" s="140"/>
      <c r="CY16" s="140"/>
      <c r="CZ16" s="140"/>
      <c r="DA16" s="140"/>
      <c r="DB16" s="140"/>
      <c r="DC16" s="140"/>
      <c r="DD16" s="140"/>
      <c r="DE16" s="140"/>
      <c r="DF16" s="140"/>
      <c r="DG16" s="140"/>
      <c r="DH16" s="140"/>
      <c r="DI16" s="140"/>
      <c r="DJ16" s="140"/>
      <c r="DK16" s="140"/>
      <c r="DL16" s="140"/>
      <c r="DM16" s="140"/>
      <c r="DN16" s="140"/>
      <c r="DO16" s="140"/>
      <c r="DP16" s="140"/>
      <c r="DQ16" s="140"/>
      <c r="DR16" s="140"/>
      <c r="DS16" s="140"/>
      <c r="DT16" s="140"/>
      <c r="DU16" s="140"/>
      <c r="DV16" s="140"/>
      <c r="DW16" s="140"/>
      <c r="DX16" s="140"/>
      <c r="DY16" s="140"/>
      <c r="DZ16" s="140"/>
      <c r="EA16" s="140"/>
      <c r="EB16" s="140"/>
      <c r="EC16" s="140"/>
      <c r="ED16" s="140"/>
      <c r="EE16" s="140"/>
      <c r="EF16" s="140"/>
      <c r="EG16" s="140"/>
      <c r="EH16" s="140"/>
      <c r="EI16" s="140"/>
      <c r="EJ16" s="140"/>
      <c r="EK16" s="140"/>
      <c r="EL16" s="140"/>
      <c r="EM16" s="140"/>
      <c r="EN16" s="140"/>
      <c r="EO16" s="140"/>
      <c r="EP16" s="140"/>
      <c r="EQ16" s="140"/>
      <c r="ER16" s="140"/>
      <c r="ES16" s="140"/>
      <c r="ET16" s="140"/>
      <c r="EU16" s="140"/>
    </row>
    <row r="17" ht="15.75" customHeight="1" spans="1:151">
      <c r="A17" s="110" t="s">
        <v>141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31"/>
      <c r="V17" s="136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  <c r="DJ17" s="140"/>
      <c r="DK17" s="140"/>
      <c r="DL17" s="140"/>
      <c r="DM17" s="140"/>
      <c r="DN17" s="140"/>
      <c r="DO17" s="140"/>
      <c r="DP17" s="140"/>
      <c r="DQ17" s="140"/>
      <c r="DR17" s="140"/>
      <c r="DS17" s="140"/>
      <c r="DT17" s="140"/>
      <c r="DU17" s="140"/>
      <c r="DV17" s="140"/>
      <c r="DW17" s="140"/>
      <c r="DX17" s="140"/>
      <c r="DY17" s="140"/>
      <c r="DZ17" s="140"/>
      <c r="EA17" s="140"/>
      <c r="EB17" s="140"/>
      <c r="EC17" s="140"/>
      <c r="ED17" s="140"/>
      <c r="EE17" s="140"/>
      <c r="EF17" s="140"/>
      <c r="EG17" s="140"/>
      <c r="EH17" s="140"/>
      <c r="EI17" s="140"/>
      <c r="EJ17" s="140"/>
      <c r="EK17" s="140"/>
      <c r="EL17" s="140"/>
      <c r="EM17" s="140"/>
      <c r="EN17" s="140"/>
      <c r="EO17" s="140"/>
      <c r="EP17" s="140"/>
      <c r="EQ17" s="140"/>
      <c r="ER17" s="140"/>
      <c r="ES17" s="140"/>
      <c r="ET17" s="140"/>
      <c r="EU17" s="140"/>
    </row>
    <row r="18" ht="15.75" customHeight="1" spans="1:151">
      <c r="A18" s="110" t="s">
        <v>142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0"/>
      <c r="BT18" s="140"/>
      <c r="BU18" s="140"/>
      <c r="BV18" s="140"/>
      <c r="BW18" s="140"/>
      <c r="BX18" s="140"/>
      <c r="BY18" s="140"/>
      <c r="BZ18" s="140"/>
      <c r="CA18" s="140"/>
      <c r="CB18" s="140"/>
      <c r="CC18" s="140"/>
      <c r="CD18" s="140"/>
      <c r="CE18" s="140"/>
      <c r="CF18" s="140"/>
      <c r="CG18" s="140"/>
      <c r="CH18" s="140"/>
      <c r="CI18" s="140"/>
      <c r="CJ18" s="140"/>
      <c r="CK18" s="140"/>
      <c r="CL18" s="140"/>
      <c r="CM18" s="140"/>
      <c r="CN18" s="140"/>
      <c r="CO18" s="140"/>
      <c r="CP18" s="140"/>
      <c r="CQ18" s="140"/>
      <c r="CR18" s="140"/>
      <c r="CS18" s="140"/>
      <c r="CT18" s="140"/>
      <c r="CU18" s="140"/>
      <c r="CV18" s="140"/>
      <c r="CW18" s="140"/>
      <c r="CX18" s="140"/>
      <c r="CY18" s="140"/>
      <c r="CZ18" s="140"/>
      <c r="DA18" s="140"/>
      <c r="DB18" s="140"/>
      <c r="DC18" s="140"/>
      <c r="DD18" s="140"/>
      <c r="DE18" s="140"/>
      <c r="DF18" s="140"/>
      <c r="DG18" s="140"/>
      <c r="DH18" s="140"/>
      <c r="DI18" s="140"/>
      <c r="DJ18" s="140"/>
      <c r="DK18" s="140"/>
      <c r="DL18" s="140"/>
      <c r="DM18" s="140"/>
      <c r="DN18" s="140"/>
      <c r="DO18" s="140"/>
      <c r="DP18" s="140"/>
      <c r="DQ18" s="140"/>
      <c r="DR18" s="140"/>
      <c r="DS18" s="140"/>
      <c r="DT18" s="140"/>
      <c r="DU18" s="140"/>
      <c r="DV18" s="140"/>
      <c r="DW18" s="140"/>
      <c r="DX18" s="140"/>
      <c r="DY18" s="140"/>
      <c r="DZ18" s="140"/>
      <c r="EA18" s="140"/>
      <c r="EB18" s="140"/>
      <c r="EC18" s="140"/>
      <c r="ED18" s="140"/>
      <c r="EE18" s="140"/>
      <c r="EF18" s="140"/>
      <c r="EG18" s="140"/>
      <c r="EH18" s="140"/>
      <c r="EI18" s="140"/>
      <c r="EJ18" s="140"/>
      <c r="EK18" s="140"/>
      <c r="EL18" s="140"/>
      <c r="EM18" s="140"/>
      <c r="EN18" s="140"/>
      <c r="EO18" s="140"/>
      <c r="EP18" s="140"/>
      <c r="EQ18" s="140"/>
      <c r="ER18" s="140"/>
      <c r="ES18" s="140"/>
      <c r="ET18" s="140"/>
      <c r="EU18" s="140"/>
    </row>
    <row r="19" ht="15.75" customHeight="1" spans="1:151">
      <c r="A19" s="110" t="s">
        <v>143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>
        <v>6</v>
      </c>
      <c r="R19" s="112">
        <v>20</v>
      </c>
      <c r="S19" s="112">
        <v>15</v>
      </c>
      <c r="T19" s="112">
        <v>1</v>
      </c>
      <c r="U19" s="112"/>
      <c r="V19" s="112"/>
      <c r="W19" s="112"/>
      <c r="X19" s="112"/>
      <c r="Y19" s="112"/>
      <c r="Z19" s="112"/>
      <c r="AA19" s="137"/>
      <c r="AB19" s="137">
        <v>5</v>
      </c>
      <c r="AC19" s="137">
        <v>13</v>
      </c>
      <c r="AD19" s="137">
        <v>19</v>
      </c>
      <c r="AE19" s="137"/>
      <c r="AF19" s="137">
        <v>13</v>
      </c>
      <c r="AG19" s="137">
        <v>2</v>
      </c>
      <c r="AH19" s="137">
        <v>17</v>
      </c>
      <c r="AI19" s="137">
        <v>19</v>
      </c>
      <c r="AJ19" s="137">
        <v>11</v>
      </c>
      <c r="AK19" s="137">
        <v>15</v>
      </c>
      <c r="AL19" s="140">
        <v>4</v>
      </c>
      <c r="AM19" s="140"/>
      <c r="AN19" s="140"/>
      <c r="AO19" s="140"/>
      <c r="AP19" s="140">
        <v>5</v>
      </c>
      <c r="AQ19" s="140"/>
      <c r="AR19" s="140"/>
      <c r="AS19" s="140">
        <v>11</v>
      </c>
      <c r="AT19" s="140">
        <v>14</v>
      </c>
      <c r="AU19" s="140">
        <v>18</v>
      </c>
      <c r="AV19" s="140">
        <v>3</v>
      </c>
      <c r="AW19" s="140">
        <v>25</v>
      </c>
      <c r="AX19" s="140">
        <v>21</v>
      </c>
      <c r="AY19" s="140">
        <v>10</v>
      </c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  <c r="DJ19" s="140"/>
      <c r="DK19" s="140"/>
      <c r="DL19" s="140"/>
      <c r="DM19" s="140"/>
      <c r="DN19" s="140"/>
      <c r="DO19" s="140"/>
      <c r="DP19" s="140"/>
      <c r="DQ19" s="140"/>
      <c r="DR19" s="140"/>
      <c r="DS19" s="140"/>
      <c r="DT19" s="140"/>
      <c r="DU19" s="140"/>
      <c r="DV19" s="140"/>
      <c r="DW19" s="140"/>
      <c r="DX19" s="140"/>
      <c r="DY19" s="140"/>
      <c r="DZ19" s="140"/>
      <c r="EA19" s="140"/>
      <c r="EB19" s="140"/>
      <c r="EC19" s="140"/>
      <c r="ED19" s="140"/>
      <c r="EE19" s="140"/>
      <c r="EF19" s="140"/>
      <c r="EG19" s="140"/>
      <c r="EH19" s="140"/>
      <c r="EI19" s="140"/>
      <c r="EJ19" s="140"/>
      <c r="EK19" s="140"/>
      <c r="EL19" s="140"/>
      <c r="EM19" s="140"/>
      <c r="EN19" s="140"/>
      <c r="EO19" s="140"/>
      <c r="EP19" s="140"/>
      <c r="EQ19" s="140"/>
      <c r="ER19" s="140"/>
      <c r="ES19" s="140"/>
      <c r="ET19" s="140"/>
      <c r="EU19" s="140"/>
    </row>
    <row r="20" ht="15.75" customHeight="1" spans="1:151">
      <c r="A20" s="110" t="s">
        <v>109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>
        <v>5</v>
      </c>
      <c r="R20" s="112">
        <v>9</v>
      </c>
      <c r="S20" s="112">
        <v>10</v>
      </c>
      <c r="T20" s="112">
        <v>18</v>
      </c>
      <c r="U20" s="112">
        <v>10</v>
      </c>
      <c r="V20" s="112">
        <v>17</v>
      </c>
      <c r="W20" s="112"/>
      <c r="X20" s="112"/>
      <c r="Y20" s="112"/>
      <c r="Z20" s="112"/>
      <c r="AA20" s="137"/>
      <c r="AB20" s="137"/>
      <c r="AC20" s="137"/>
      <c r="AD20" s="137"/>
      <c r="AE20" s="137">
        <v>30</v>
      </c>
      <c r="AF20" s="137">
        <v>18</v>
      </c>
      <c r="AG20" s="137">
        <v>9</v>
      </c>
      <c r="AH20" s="137">
        <v>9</v>
      </c>
      <c r="AI20" s="137">
        <v>7</v>
      </c>
      <c r="AJ20" s="137">
        <v>4</v>
      </c>
      <c r="AK20" s="137"/>
      <c r="AL20" s="140">
        <v>6</v>
      </c>
      <c r="AM20" s="140">
        <v>5</v>
      </c>
      <c r="AN20" s="140">
        <v>15</v>
      </c>
      <c r="AO20" s="140">
        <v>17</v>
      </c>
      <c r="AP20" s="140">
        <v>6</v>
      </c>
      <c r="AQ20" s="140">
        <v>15</v>
      </c>
      <c r="AR20" s="140">
        <v>31</v>
      </c>
      <c r="AS20" s="140">
        <v>7</v>
      </c>
      <c r="AT20" s="140"/>
      <c r="AU20" s="140"/>
      <c r="AV20" s="140">
        <v>1</v>
      </c>
      <c r="AW20" s="140"/>
      <c r="AX20" s="140"/>
      <c r="AY20" s="140">
        <v>2</v>
      </c>
      <c r="AZ20" s="140"/>
      <c r="BA20" s="140"/>
      <c r="BB20" s="140"/>
      <c r="BC20" s="140"/>
      <c r="BD20" s="140">
        <v>2</v>
      </c>
      <c r="BE20" s="140"/>
      <c r="BF20" s="140"/>
      <c r="BG20" s="140">
        <v>5</v>
      </c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0"/>
      <c r="BU20" s="140"/>
      <c r="BV20" s="140"/>
      <c r="BW20" s="140"/>
      <c r="BX20" s="140"/>
      <c r="BY20" s="140">
        <v>1</v>
      </c>
      <c r="BZ20" s="140"/>
      <c r="CA20" s="140"/>
      <c r="CB20" s="140"/>
      <c r="CC20" s="140"/>
      <c r="CD20" s="140"/>
      <c r="CE20" s="140"/>
      <c r="CF20" s="140"/>
      <c r="CG20" s="140"/>
      <c r="CH20" s="140"/>
      <c r="CI20" s="140"/>
      <c r="CJ20" s="140"/>
      <c r="CK20" s="140"/>
      <c r="CL20" s="140"/>
      <c r="CM20" s="140"/>
      <c r="CN20" s="140"/>
      <c r="CO20" s="140"/>
      <c r="CP20" s="140"/>
      <c r="CQ20" s="140"/>
      <c r="CR20" s="140"/>
      <c r="CS20" s="140"/>
      <c r="CT20" s="140"/>
      <c r="CU20" s="140"/>
      <c r="CV20" s="140"/>
      <c r="CW20" s="140"/>
      <c r="CX20" s="140"/>
      <c r="CY20" s="140"/>
      <c r="CZ20" s="140"/>
      <c r="DA20" s="140"/>
      <c r="DB20" s="140"/>
      <c r="DC20" s="140"/>
      <c r="DD20" s="140"/>
      <c r="DE20" s="140"/>
      <c r="DF20" s="140"/>
      <c r="DG20" s="140"/>
      <c r="DH20" s="140"/>
      <c r="DI20" s="140"/>
      <c r="DJ20" s="140"/>
      <c r="DK20" s="140"/>
      <c r="DL20" s="140"/>
      <c r="DM20" s="140"/>
      <c r="DN20" s="140"/>
      <c r="DO20" s="140"/>
      <c r="DP20" s="140"/>
      <c r="DQ20" s="140"/>
      <c r="DR20" s="140"/>
      <c r="DS20" s="140"/>
      <c r="DT20" s="140"/>
      <c r="DU20" s="140"/>
      <c r="DV20" s="140"/>
      <c r="DW20" s="140"/>
      <c r="DX20" s="140"/>
      <c r="DY20" s="140"/>
      <c r="DZ20" s="140"/>
      <c r="EA20" s="140"/>
      <c r="EB20" s="140"/>
      <c r="EC20" s="140"/>
      <c r="ED20" s="140"/>
      <c r="EE20" s="140"/>
      <c r="EF20" s="140"/>
      <c r="EG20" s="140"/>
      <c r="EH20" s="140"/>
      <c r="EI20" s="140"/>
      <c r="EJ20" s="140"/>
      <c r="EK20" s="140"/>
      <c r="EL20" s="140"/>
      <c r="EM20" s="140"/>
      <c r="EN20" s="140"/>
      <c r="EO20" s="140"/>
      <c r="EP20" s="140"/>
      <c r="EQ20" s="140"/>
      <c r="ER20" s="140"/>
      <c r="ES20" s="140"/>
      <c r="ET20" s="140"/>
      <c r="EU20" s="140"/>
    </row>
    <row r="21" ht="15.75" customHeight="1" spans="1:151">
      <c r="A21" s="110" t="s">
        <v>144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2">
        <v>2</v>
      </c>
      <c r="T21" s="112"/>
      <c r="U21" s="112"/>
      <c r="V21" s="112">
        <v>1</v>
      </c>
      <c r="W21" s="112"/>
      <c r="X21" s="112">
        <v>3</v>
      </c>
      <c r="Y21" s="112"/>
      <c r="Z21" s="112"/>
      <c r="AA21" s="137"/>
      <c r="AB21" s="137"/>
      <c r="AC21" s="137"/>
      <c r="AD21" s="137">
        <v>1</v>
      </c>
      <c r="AE21" s="137"/>
      <c r="AF21" s="137"/>
      <c r="AG21" s="137"/>
      <c r="AH21" s="137"/>
      <c r="AI21" s="137"/>
      <c r="AJ21" s="137"/>
      <c r="AK21" s="137"/>
      <c r="AL21" s="140"/>
      <c r="AM21" s="140"/>
      <c r="AN21" s="140"/>
      <c r="AO21" s="140"/>
      <c r="AP21" s="140">
        <v>2</v>
      </c>
      <c r="AQ21" s="140">
        <v>1</v>
      </c>
      <c r="AR21" s="140"/>
      <c r="AS21" s="140">
        <v>1</v>
      </c>
      <c r="AT21" s="140"/>
      <c r="AU21" s="140"/>
      <c r="AV21" s="140"/>
      <c r="AW21" s="140"/>
      <c r="AX21" s="140"/>
      <c r="AY21" s="140"/>
      <c r="AZ21" s="140"/>
      <c r="BA21" s="140"/>
      <c r="BB21" s="140"/>
      <c r="BC21" s="140">
        <v>2</v>
      </c>
      <c r="BD21" s="140">
        <v>2</v>
      </c>
      <c r="BE21" s="140"/>
      <c r="BF21" s="140">
        <v>3</v>
      </c>
      <c r="BG21" s="140"/>
      <c r="BH21" s="140"/>
      <c r="BI21" s="140"/>
      <c r="BJ21" s="140"/>
      <c r="BK21" s="140"/>
      <c r="BL21" s="140"/>
      <c r="BM21" s="140">
        <v>1</v>
      </c>
      <c r="BN21" s="140"/>
      <c r="BO21" s="140"/>
      <c r="BP21" s="140">
        <v>1</v>
      </c>
      <c r="BQ21" s="140"/>
      <c r="BR21" s="140">
        <v>4</v>
      </c>
      <c r="BS21" s="140"/>
      <c r="BT21" s="140"/>
      <c r="BU21" s="140">
        <v>1</v>
      </c>
      <c r="BV21" s="140"/>
      <c r="BW21" s="140"/>
      <c r="BX21" s="140"/>
      <c r="BY21" s="140">
        <v>1</v>
      </c>
      <c r="BZ21" s="140"/>
      <c r="CA21" s="140"/>
      <c r="CB21" s="140"/>
      <c r="CC21" s="140"/>
      <c r="CD21" s="140"/>
      <c r="CE21" s="140"/>
      <c r="CF21" s="140"/>
      <c r="CG21" s="140"/>
      <c r="CH21" s="140"/>
      <c r="CI21" s="140"/>
      <c r="CJ21" s="140"/>
      <c r="CK21" s="140"/>
      <c r="CL21" s="140"/>
      <c r="CM21" s="140"/>
      <c r="CN21" s="140"/>
      <c r="CO21" s="140"/>
      <c r="CP21" s="140"/>
      <c r="CQ21" s="140"/>
      <c r="CR21" s="140"/>
      <c r="CS21" s="140"/>
      <c r="CT21" s="140"/>
      <c r="CU21" s="140"/>
      <c r="CV21" s="140"/>
      <c r="CW21" s="140"/>
      <c r="CX21" s="140"/>
      <c r="CY21" s="140"/>
      <c r="CZ21" s="140"/>
      <c r="DA21" s="140"/>
      <c r="DB21" s="140"/>
      <c r="DC21" s="140"/>
      <c r="DD21" s="140"/>
      <c r="DE21" s="140"/>
      <c r="DF21" s="140"/>
      <c r="DG21" s="140"/>
      <c r="DH21" s="140"/>
      <c r="DI21" s="140"/>
      <c r="DJ21" s="140"/>
      <c r="DK21" s="140"/>
      <c r="DL21" s="140"/>
      <c r="DM21" s="140"/>
      <c r="DN21" s="140"/>
      <c r="DO21" s="140"/>
      <c r="DP21" s="140"/>
      <c r="DQ21" s="140"/>
      <c r="DR21" s="140"/>
      <c r="DS21" s="140"/>
      <c r="DT21" s="140"/>
      <c r="DU21" s="140"/>
      <c r="DV21" s="140"/>
      <c r="DW21" s="140"/>
      <c r="DX21" s="140"/>
      <c r="DY21" s="140"/>
      <c r="DZ21" s="140"/>
      <c r="EA21" s="140"/>
      <c r="EB21" s="140"/>
      <c r="EC21" s="140"/>
      <c r="ED21" s="140"/>
      <c r="EE21" s="140"/>
      <c r="EF21" s="140"/>
      <c r="EG21" s="140"/>
      <c r="EH21" s="140"/>
      <c r="EI21" s="140"/>
      <c r="EJ21" s="140"/>
      <c r="EK21" s="140"/>
      <c r="EL21" s="140"/>
      <c r="EM21" s="140"/>
      <c r="EN21" s="140"/>
      <c r="EO21" s="140"/>
      <c r="EP21" s="140"/>
      <c r="EQ21" s="140"/>
      <c r="ER21" s="140"/>
      <c r="ES21" s="140"/>
      <c r="ET21" s="140"/>
      <c r="EU21" s="140"/>
    </row>
    <row r="22" ht="15.75" customHeight="1" spans="1:151">
      <c r="A22" s="110" t="s">
        <v>145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2"/>
      <c r="T22" s="112"/>
      <c r="U22" s="112"/>
      <c r="V22" s="112"/>
      <c r="W22" s="112"/>
      <c r="X22" s="112"/>
      <c r="Y22" s="112"/>
      <c r="Z22" s="112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40"/>
      <c r="AM22" s="140"/>
      <c r="AN22" s="140"/>
      <c r="AO22" s="140"/>
      <c r="AP22" s="140"/>
      <c r="AQ22" s="140"/>
      <c r="AR22" s="140"/>
      <c r="AS22" s="140">
        <v>1</v>
      </c>
      <c r="AT22" s="140"/>
      <c r="AU22" s="140"/>
      <c r="AV22" s="140"/>
      <c r="AW22" s="140"/>
      <c r="AX22" s="140"/>
      <c r="AY22" s="140"/>
      <c r="AZ22" s="140"/>
      <c r="BA22" s="140">
        <v>2</v>
      </c>
      <c r="BB22" s="140"/>
      <c r="BC22" s="140"/>
      <c r="BD22" s="140"/>
      <c r="BE22" s="140">
        <v>3</v>
      </c>
      <c r="BF22" s="140"/>
      <c r="BG22" s="140"/>
      <c r="BH22" s="140"/>
      <c r="BI22" s="140"/>
      <c r="BJ22" s="140"/>
      <c r="BK22" s="140"/>
      <c r="BL22" s="140">
        <v>1</v>
      </c>
      <c r="BM22" s="140">
        <v>1</v>
      </c>
      <c r="BN22" s="140">
        <v>1</v>
      </c>
      <c r="BO22" s="140"/>
      <c r="BP22" s="140"/>
      <c r="BQ22" s="140"/>
      <c r="BR22" s="140"/>
      <c r="BS22" s="140"/>
      <c r="BT22" s="140"/>
      <c r="BU22" s="140"/>
      <c r="BV22" s="140"/>
      <c r="BW22" s="140"/>
      <c r="BX22" s="140"/>
      <c r="BY22" s="140"/>
      <c r="BZ22" s="140"/>
      <c r="CA22" s="140"/>
      <c r="CB22" s="140"/>
      <c r="CC22" s="140"/>
      <c r="CD22" s="140"/>
      <c r="CE22" s="140"/>
      <c r="CF22" s="140"/>
      <c r="CG22" s="140"/>
      <c r="CH22" s="140"/>
      <c r="CI22" s="140"/>
      <c r="CJ22" s="140"/>
      <c r="CK22" s="140"/>
      <c r="CL22" s="140"/>
      <c r="CM22" s="140"/>
      <c r="CN22" s="140"/>
      <c r="CO22" s="140"/>
      <c r="CP22" s="140"/>
      <c r="CQ22" s="140"/>
      <c r="CR22" s="140"/>
      <c r="CS22" s="140"/>
      <c r="CT22" s="140"/>
      <c r="CU22" s="140"/>
      <c r="CV22" s="140"/>
      <c r="CW22" s="140"/>
      <c r="CX22" s="140"/>
      <c r="CY22" s="140"/>
      <c r="CZ22" s="140"/>
      <c r="DA22" s="140"/>
      <c r="DB22" s="140"/>
      <c r="DC22" s="140"/>
      <c r="DD22" s="140"/>
      <c r="DE22" s="140"/>
      <c r="DF22" s="140"/>
      <c r="DG22" s="140"/>
      <c r="DH22" s="140"/>
      <c r="DI22" s="140"/>
      <c r="DJ22" s="140"/>
      <c r="DK22" s="140"/>
      <c r="DL22" s="140"/>
      <c r="DM22" s="140"/>
      <c r="DN22" s="140"/>
      <c r="DO22" s="140"/>
      <c r="DP22" s="140"/>
      <c r="DQ22" s="140"/>
      <c r="DR22" s="140"/>
      <c r="DS22" s="140"/>
      <c r="DT22" s="140"/>
      <c r="DU22" s="140"/>
      <c r="DV22" s="140"/>
      <c r="DW22" s="140"/>
      <c r="DX22" s="140"/>
      <c r="DY22" s="140"/>
      <c r="DZ22" s="140"/>
      <c r="EA22" s="140"/>
      <c r="EB22" s="140"/>
      <c r="EC22" s="140"/>
      <c r="ED22" s="140"/>
      <c r="EE22" s="140"/>
      <c r="EF22" s="140"/>
      <c r="EG22" s="140"/>
      <c r="EH22" s="140"/>
      <c r="EI22" s="140"/>
      <c r="EJ22" s="140"/>
      <c r="EK22" s="140"/>
      <c r="EL22" s="140"/>
      <c r="EM22" s="140"/>
      <c r="EN22" s="140"/>
      <c r="EO22" s="140"/>
      <c r="EP22" s="140"/>
      <c r="EQ22" s="140"/>
      <c r="ER22" s="140"/>
      <c r="ES22" s="140"/>
      <c r="ET22" s="140"/>
      <c r="EU22" s="140"/>
    </row>
    <row r="23" ht="15.75" customHeight="1" spans="1:151">
      <c r="A23" s="113" t="s">
        <v>146</v>
      </c>
      <c r="B23" s="114">
        <f t="shared" ref="B23:BM23" si="0">SUM(B3:B22)</f>
        <v>12</v>
      </c>
      <c r="C23" s="114">
        <f t="shared" si="0"/>
        <v>11</v>
      </c>
      <c r="D23" s="114">
        <f t="shared" si="0"/>
        <v>31</v>
      </c>
      <c r="E23" s="114">
        <f t="shared" si="0"/>
        <v>77</v>
      </c>
      <c r="F23" s="114">
        <f t="shared" si="0"/>
        <v>65</v>
      </c>
      <c r="G23" s="114">
        <f t="shared" si="0"/>
        <v>64</v>
      </c>
      <c r="H23" s="114">
        <f t="shared" si="0"/>
        <v>84</v>
      </c>
      <c r="I23" s="114">
        <f t="shared" si="0"/>
        <v>69</v>
      </c>
      <c r="J23" s="114">
        <f t="shared" si="0"/>
        <v>67</v>
      </c>
      <c r="K23" s="114">
        <f t="shared" si="0"/>
        <v>107</v>
      </c>
      <c r="L23" s="114">
        <f t="shared" si="0"/>
        <v>95</v>
      </c>
      <c r="M23" s="114">
        <f t="shared" si="0"/>
        <v>111</v>
      </c>
      <c r="N23" s="114">
        <f t="shared" si="0"/>
        <v>104</v>
      </c>
      <c r="O23" s="114">
        <f t="shared" si="0"/>
        <v>77</v>
      </c>
      <c r="P23" s="114">
        <f t="shared" si="0"/>
        <v>55</v>
      </c>
      <c r="Q23" s="114">
        <f t="shared" si="0"/>
        <v>94</v>
      </c>
      <c r="R23" s="114">
        <f t="shared" si="0"/>
        <v>97</v>
      </c>
      <c r="S23" s="114">
        <f t="shared" si="0"/>
        <v>109</v>
      </c>
      <c r="T23" s="114">
        <f t="shared" si="0"/>
        <v>132</v>
      </c>
      <c r="U23" s="114">
        <f t="shared" si="0"/>
        <v>141</v>
      </c>
      <c r="V23" s="114">
        <f t="shared" si="0"/>
        <v>147</v>
      </c>
      <c r="W23" s="114">
        <f t="shared" si="0"/>
        <v>192</v>
      </c>
      <c r="X23" s="114">
        <f t="shared" si="0"/>
        <v>131</v>
      </c>
      <c r="Y23" s="114">
        <f t="shared" si="0"/>
        <v>147</v>
      </c>
      <c r="Z23" s="114">
        <f t="shared" si="0"/>
        <v>169</v>
      </c>
      <c r="AA23" s="114">
        <f t="shared" si="0"/>
        <v>156</v>
      </c>
      <c r="AB23" s="114">
        <f t="shared" si="0"/>
        <v>103</v>
      </c>
      <c r="AC23" s="114">
        <f t="shared" si="0"/>
        <v>157</v>
      </c>
      <c r="AD23" s="114">
        <f t="shared" si="0"/>
        <v>200</v>
      </c>
      <c r="AE23" s="114">
        <f t="shared" si="0"/>
        <v>150</v>
      </c>
      <c r="AF23" s="114">
        <f t="shared" si="0"/>
        <v>142</v>
      </c>
      <c r="AG23" s="114">
        <f t="shared" si="0"/>
        <v>87</v>
      </c>
      <c r="AH23" s="114">
        <f t="shared" si="0"/>
        <v>112</v>
      </c>
      <c r="AI23" s="114">
        <f t="shared" si="0"/>
        <v>81</v>
      </c>
      <c r="AJ23" s="114">
        <f t="shared" si="0"/>
        <v>110</v>
      </c>
      <c r="AK23" s="114">
        <f t="shared" si="0"/>
        <v>106</v>
      </c>
      <c r="AL23" s="114">
        <f t="shared" si="0"/>
        <v>80</v>
      </c>
      <c r="AM23" s="114">
        <f t="shared" si="0"/>
        <v>121</v>
      </c>
      <c r="AN23" s="114">
        <f t="shared" si="0"/>
        <v>177</v>
      </c>
      <c r="AO23" s="114">
        <f t="shared" si="0"/>
        <v>167</v>
      </c>
      <c r="AP23" s="114">
        <f t="shared" si="0"/>
        <v>199</v>
      </c>
      <c r="AQ23" s="114">
        <f t="shared" si="0"/>
        <v>177</v>
      </c>
      <c r="AR23" s="114">
        <f t="shared" si="0"/>
        <v>186</v>
      </c>
      <c r="AS23" s="114">
        <f t="shared" si="0"/>
        <v>130</v>
      </c>
      <c r="AT23" s="114">
        <f t="shared" si="0"/>
        <v>105</v>
      </c>
      <c r="AU23" s="114">
        <f t="shared" si="0"/>
        <v>120</v>
      </c>
      <c r="AV23" s="114">
        <f t="shared" si="0"/>
        <v>31</v>
      </c>
      <c r="AW23" s="114">
        <f t="shared" si="0"/>
        <v>101</v>
      </c>
      <c r="AX23" s="114">
        <f t="shared" si="0"/>
        <v>182</v>
      </c>
      <c r="AY23" s="114">
        <f t="shared" si="0"/>
        <v>155</v>
      </c>
      <c r="AZ23" s="114">
        <f t="shared" si="0"/>
        <v>128</v>
      </c>
      <c r="BA23" s="114">
        <f t="shared" si="0"/>
        <v>192</v>
      </c>
      <c r="BB23" s="114">
        <f t="shared" si="0"/>
        <v>185</v>
      </c>
      <c r="BC23" s="114">
        <f t="shared" si="0"/>
        <v>208</v>
      </c>
      <c r="BD23" s="114">
        <f t="shared" si="0"/>
        <v>155</v>
      </c>
      <c r="BE23" s="114">
        <f t="shared" si="0"/>
        <v>187</v>
      </c>
      <c r="BF23" s="114">
        <f t="shared" si="0"/>
        <v>187</v>
      </c>
      <c r="BG23" s="114">
        <f t="shared" si="0"/>
        <v>230</v>
      </c>
      <c r="BH23" s="114">
        <f t="shared" si="0"/>
        <v>217</v>
      </c>
      <c r="BI23" s="114">
        <f t="shared" si="0"/>
        <v>257</v>
      </c>
      <c r="BJ23" s="114">
        <f t="shared" si="0"/>
        <v>236</v>
      </c>
      <c r="BK23" s="114">
        <f t="shared" si="0"/>
        <v>191</v>
      </c>
      <c r="BL23" s="114">
        <f t="shared" si="0"/>
        <v>160</v>
      </c>
      <c r="BM23" s="114">
        <f t="shared" si="0"/>
        <v>159</v>
      </c>
      <c r="BN23" s="114">
        <f t="shared" ref="BN23:DY23" si="1">SUM(BN3:BN22)</f>
        <v>238</v>
      </c>
      <c r="BO23" s="114">
        <f t="shared" si="1"/>
        <v>153</v>
      </c>
      <c r="BP23" s="114">
        <f t="shared" si="1"/>
        <v>147</v>
      </c>
      <c r="BQ23" s="114">
        <f t="shared" si="1"/>
        <v>187</v>
      </c>
      <c r="BR23" s="114">
        <f t="shared" si="1"/>
        <v>202</v>
      </c>
      <c r="BS23" s="114">
        <f t="shared" si="1"/>
        <v>260</v>
      </c>
      <c r="BT23" s="114">
        <f t="shared" si="1"/>
        <v>184</v>
      </c>
      <c r="BU23" s="114">
        <f t="shared" si="1"/>
        <v>228</v>
      </c>
      <c r="BV23" s="114">
        <f t="shared" si="1"/>
        <v>224</v>
      </c>
      <c r="BW23" s="114">
        <f t="shared" si="1"/>
        <v>178</v>
      </c>
      <c r="BX23" s="114">
        <f t="shared" si="1"/>
        <v>195</v>
      </c>
      <c r="BY23" s="114">
        <f t="shared" si="1"/>
        <v>165</v>
      </c>
      <c r="BZ23" s="114">
        <f t="shared" si="1"/>
        <v>184</v>
      </c>
      <c r="CA23" s="114">
        <f t="shared" si="1"/>
        <v>0</v>
      </c>
      <c r="CB23" s="114">
        <f t="shared" si="1"/>
        <v>0</v>
      </c>
      <c r="CC23" s="114">
        <f t="shared" si="1"/>
        <v>0</v>
      </c>
      <c r="CD23" s="114">
        <f t="shared" si="1"/>
        <v>0</v>
      </c>
      <c r="CE23" s="114">
        <f t="shared" si="1"/>
        <v>0</v>
      </c>
      <c r="CF23" s="114">
        <f t="shared" si="1"/>
        <v>0</v>
      </c>
      <c r="CG23" s="114">
        <f t="shared" si="1"/>
        <v>0</v>
      </c>
      <c r="CH23" s="114">
        <f t="shared" si="1"/>
        <v>0</v>
      </c>
      <c r="CI23" s="114">
        <f t="shared" si="1"/>
        <v>0</v>
      </c>
      <c r="CJ23" s="114">
        <f t="shared" si="1"/>
        <v>0</v>
      </c>
      <c r="CK23" s="114">
        <f t="shared" si="1"/>
        <v>0</v>
      </c>
      <c r="CL23" s="114">
        <f t="shared" si="1"/>
        <v>0</v>
      </c>
      <c r="CM23" s="114">
        <f t="shared" si="1"/>
        <v>0</v>
      </c>
      <c r="CN23" s="114">
        <f t="shared" si="1"/>
        <v>0</v>
      </c>
      <c r="CO23" s="114">
        <f t="shared" si="1"/>
        <v>0</v>
      </c>
      <c r="CP23" s="114">
        <f t="shared" si="1"/>
        <v>0</v>
      </c>
      <c r="CQ23" s="114">
        <f t="shared" si="1"/>
        <v>0</v>
      </c>
      <c r="CR23" s="114">
        <f t="shared" si="1"/>
        <v>0</v>
      </c>
      <c r="CS23" s="114">
        <f t="shared" si="1"/>
        <v>0</v>
      </c>
      <c r="CT23" s="114">
        <f t="shared" si="1"/>
        <v>0</v>
      </c>
      <c r="CU23" s="114">
        <f t="shared" si="1"/>
        <v>0</v>
      </c>
      <c r="CV23" s="114">
        <f t="shared" si="1"/>
        <v>0</v>
      </c>
      <c r="CW23" s="114">
        <f t="shared" si="1"/>
        <v>0</v>
      </c>
      <c r="CX23" s="114">
        <f t="shared" si="1"/>
        <v>0</v>
      </c>
      <c r="CY23" s="114">
        <f t="shared" si="1"/>
        <v>0</v>
      </c>
      <c r="CZ23" s="114">
        <f t="shared" si="1"/>
        <v>0</v>
      </c>
      <c r="DA23" s="114">
        <f t="shared" si="1"/>
        <v>0</v>
      </c>
      <c r="DB23" s="114">
        <f t="shared" si="1"/>
        <v>0</v>
      </c>
      <c r="DC23" s="114">
        <f t="shared" si="1"/>
        <v>0</v>
      </c>
      <c r="DD23" s="114">
        <f t="shared" si="1"/>
        <v>0</v>
      </c>
      <c r="DE23" s="114">
        <f t="shared" si="1"/>
        <v>0</v>
      </c>
      <c r="DF23" s="114">
        <f t="shared" si="1"/>
        <v>0</v>
      </c>
      <c r="DG23" s="114">
        <f t="shared" si="1"/>
        <v>0</v>
      </c>
      <c r="DH23" s="114">
        <f t="shared" si="1"/>
        <v>0</v>
      </c>
      <c r="DI23" s="114">
        <f t="shared" si="1"/>
        <v>0</v>
      </c>
      <c r="DJ23" s="114">
        <f t="shared" si="1"/>
        <v>0</v>
      </c>
      <c r="DK23" s="114">
        <f t="shared" si="1"/>
        <v>0</v>
      </c>
      <c r="DL23" s="114">
        <f t="shared" si="1"/>
        <v>0</v>
      </c>
      <c r="DM23" s="114">
        <f t="shared" si="1"/>
        <v>0</v>
      </c>
      <c r="DN23" s="114">
        <f t="shared" si="1"/>
        <v>0</v>
      </c>
      <c r="DO23" s="114">
        <f t="shared" si="1"/>
        <v>0</v>
      </c>
      <c r="DP23" s="114">
        <f t="shared" si="1"/>
        <v>0</v>
      </c>
      <c r="DQ23" s="114">
        <f t="shared" si="1"/>
        <v>0</v>
      </c>
      <c r="DR23" s="114">
        <f t="shared" si="1"/>
        <v>0</v>
      </c>
      <c r="DS23" s="114">
        <f t="shared" si="1"/>
        <v>0</v>
      </c>
      <c r="DT23" s="114">
        <f t="shared" si="1"/>
        <v>0</v>
      </c>
      <c r="DU23" s="114">
        <f t="shared" si="1"/>
        <v>0</v>
      </c>
      <c r="DV23" s="114">
        <f t="shared" si="1"/>
        <v>0</v>
      </c>
      <c r="DW23" s="114">
        <f t="shared" si="1"/>
        <v>0</v>
      </c>
      <c r="DX23" s="114">
        <f t="shared" si="1"/>
        <v>0</v>
      </c>
      <c r="DY23" s="114">
        <f t="shared" si="1"/>
        <v>0</v>
      </c>
      <c r="DZ23" s="114">
        <f t="shared" ref="DZ23:EU23" si="2">SUM(DZ3:DZ22)</f>
        <v>0</v>
      </c>
      <c r="EA23" s="114">
        <f t="shared" si="2"/>
        <v>0</v>
      </c>
      <c r="EB23" s="114">
        <f t="shared" si="2"/>
        <v>0</v>
      </c>
      <c r="EC23" s="114">
        <f t="shared" si="2"/>
        <v>0</v>
      </c>
      <c r="ED23" s="114">
        <f t="shared" si="2"/>
        <v>0</v>
      </c>
      <c r="EE23" s="114">
        <f t="shared" si="2"/>
        <v>0</v>
      </c>
      <c r="EF23" s="114">
        <f t="shared" si="2"/>
        <v>0</v>
      </c>
      <c r="EG23" s="114">
        <f t="shared" si="2"/>
        <v>0</v>
      </c>
      <c r="EH23" s="114">
        <f t="shared" si="2"/>
        <v>0</v>
      </c>
      <c r="EI23" s="114">
        <f t="shared" si="2"/>
        <v>0</v>
      </c>
      <c r="EJ23" s="114">
        <f t="shared" si="2"/>
        <v>0</v>
      </c>
      <c r="EK23" s="114">
        <f t="shared" si="2"/>
        <v>0</v>
      </c>
      <c r="EL23" s="114">
        <f t="shared" si="2"/>
        <v>0</v>
      </c>
      <c r="EM23" s="140">
        <f t="shared" si="2"/>
        <v>0</v>
      </c>
      <c r="EN23" s="140">
        <f t="shared" si="2"/>
        <v>0</v>
      </c>
      <c r="EO23" s="140">
        <f t="shared" si="2"/>
        <v>0</v>
      </c>
      <c r="EP23" s="140">
        <f t="shared" si="2"/>
        <v>0</v>
      </c>
      <c r="EQ23" s="140">
        <f t="shared" si="2"/>
        <v>0</v>
      </c>
      <c r="ER23" s="140">
        <f t="shared" si="2"/>
        <v>0</v>
      </c>
      <c r="ES23" s="140">
        <f t="shared" si="2"/>
        <v>0</v>
      </c>
      <c r="ET23" s="140">
        <f t="shared" si="2"/>
        <v>0</v>
      </c>
      <c r="EU23" s="140">
        <f t="shared" si="2"/>
        <v>0</v>
      </c>
    </row>
    <row r="24" ht="15.75" customHeight="1" spans="1:151">
      <c r="A24" s="115" t="s">
        <v>147</v>
      </c>
      <c r="B24" s="109">
        <v>45827</v>
      </c>
      <c r="C24" s="109">
        <v>45828</v>
      </c>
      <c r="D24" s="109">
        <v>45829</v>
      </c>
      <c r="E24" s="109">
        <v>45830</v>
      </c>
      <c r="F24" s="109">
        <v>45831</v>
      </c>
      <c r="G24" s="109">
        <v>45832</v>
      </c>
      <c r="H24" s="109">
        <v>45833</v>
      </c>
      <c r="I24" s="109">
        <v>45834</v>
      </c>
      <c r="J24" s="109">
        <v>45835</v>
      </c>
      <c r="K24" s="109">
        <v>45836</v>
      </c>
      <c r="L24" s="109">
        <v>45837</v>
      </c>
      <c r="M24" s="109">
        <v>45838</v>
      </c>
      <c r="N24" s="109">
        <v>45839</v>
      </c>
      <c r="O24" s="109">
        <v>45840</v>
      </c>
      <c r="P24" s="109">
        <v>45841</v>
      </c>
      <c r="Q24" s="109">
        <v>45842</v>
      </c>
      <c r="R24" s="109">
        <v>45843</v>
      </c>
      <c r="S24" s="109">
        <v>45844</v>
      </c>
      <c r="T24" s="109">
        <v>45845</v>
      </c>
      <c r="U24" s="109">
        <v>45846</v>
      </c>
      <c r="V24" s="109">
        <v>45847</v>
      </c>
      <c r="W24" s="109">
        <v>45848</v>
      </c>
      <c r="X24" s="109">
        <v>45849</v>
      </c>
      <c r="Y24" s="109">
        <v>45850</v>
      </c>
      <c r="Z24" s="109">
        <v>45851</v>
      </c>
      <c r="AA24" s="109">
        <v>45852</v>
      </c>
      <c r="AB24" s="109">
        <v>45853</v>
      </c>
      <c r="AC24" s="109">
        <v>45854</v>
      </c>
      <c r="AD24" s="109">
        <v>45855</v>
      </c>
      <c r="AE24" s="109">
        <v>45856</v>
      </c>
      <c r="AF24" s="109">
        <v>45857</v>
      </c>
      <c r="AG24" s="109">
        <v>45858</v>
      </c>
      <c r="AH24" s="109">
        <v>45859</v>
      </c>
      <c r="AI24" s="109">
        <v>45860</v>
      </c>
      <c r="AJ24" s="109">
        <v>45861</v>
      </c>
      <c r="AK24" s="109">
        <v>45862</v>
      </c>
      <c r="AL24" s="109">
        <v>45863</v>
      </c>
      <c r="AM24" s="109">
        <v>45864</v>
      </c>
      <c r="AN24" s="109">
        <v>45865</v>
      </c>
      <c r="AO24" s="109">
        <v>45866</v>
      </c>
      <c r="AP24" s="109">
        <v>45867</v>
      </c>
      <c r="AQ24" s="109">
        <v>45868</v>
      </c>
      <c r="AR24" s="109">
        <v>45869</v>
      </c>
      <c r="AS24" s="109">
        <v>45870</v>
      </c>
      <c r="AT24" s="109">
        <v>45871</v>
      </c>
      <c r="AU24" s="109">
        <v>45872</v>
      </c>
      <c r="AV24" s="109">
        <v>45873</v>
      </c>
      <c r="AW24" s="109">
        <v>45874</v>
      </c>
      <c r="AX24" s="109">
        <v>45875</v>
      </c>
      <c r="AY24" s="109">
        <v>45876</v>
      </c>
      <c r="AZ24" s="109">
        <v>45877</v>
      </c>
      <c r="BA24" s="109">
        <v>45878</v>
      </c>
      <c r="BB24" s="109">
        <v>45879</v>
      </c>
      <c r="BC24" s="109">
        <v>45880</v>
      </c>
      <c r="BD24" s="109">
        <v>45881</v>
      </c>
      <c r="BE24" s="109">
        <v>45882</v>
      </c>
      <c r="BF24" s="109">
        <v>45883</v>
      </c>
      <c r="BG24" s="109">
        <v>45884</v>
      </c>
      <c r="BH24" s="109">
        <v>45885</v>
      </c>
      <c r="BI24" s="109">
        <v>45886</v>
      </c>
      <c r="BJ24" s="109">
        <v>45887</v>
      </c>
      <c r="BK24" s="109">
        <v>45888</v>
      </c>
      <c r="BL24" s="109">
        <v>45889</v>
      </c>
      <c r="BM24" s="109">
        <v>45890</v>
      </c>
      <c r="BN24" s="109">
        <v>45891</v>
      </c>
      <c r="BO24" s="109">
        <v>45892</v>
      </c>
      <c r="BP24" s="109">
        <v>45893</v>
      </c>
      <c r="BQ24" s="109">
        <v>45894</v>
      </c>
      <c r="BR24" s="109">
        <v>45895</v>
      </c>
      <c r="BS24" s="109">
        <v>45896</v>
      </c>
      <c r="BT24" s="109">
        <v>45897</v>
      </c>
      <c r="BU24" s="109">
        <v>45898</v>
      </c>
      <c r="BV24" s="109">
        <v>45899</v>
      </c>
      <c r="BW24" s="109">
        <v>45900</v>
      </c>
      <c r="BX24" s="109">
        <v>45901</v>
      </c>
      <c r="BY24" s="109">
        <v>45902</v>
      </c>
      <c r="BZ24" s="109">
        <v>45903</v>
      </c>
      <c r="CA24" s="109">
        <v>45904</v>
      </c>
      <c r="CB24" s="109">
        <v>45905</v>
      </c>
      <c r="CC24" s="109">
        <v>45906</v>
      </c>
      <c r="CD24" s="109">
        <v>45907</v>
      </c>
      <c r="CE24" s="109">
        <v>45908</v>
      </c>
      <c r="CF24" s="109">
        <v>45909</v>
      </c>
      <c r="CG24" s="109">
        <v>45910</v>
      </c>
      <c r="CH24" s="109">
        <v>45911</v>
      </c>
      <c r="CI24" s="109">
        <v>45912</v>
      </c>
      <c r="CJ24" s="109">
        <v>45913</v>
      </c>
      <c r="CK24" s="109">
        <v>45914</v>
      </c>
      <c r="CL24" s="109">
        <v>45915</v>
      </c>
      <c r="CM24" s="109">
        <v>45916</v>
      </c>
      <c r="CN24" s="109">
        <v>45917</v>
      </c>
      <c r="CO24" s="109">
        <v>45918</v>
      </c>
      <c r="CP24" s="109">
        <v>45919</v>
      </c>
      <c r="CQ24" s="109">
        <v>45920</v>
      </c>
      <c r="CR24" s="109">
        <v>45921</v>
      </c>
      <c r="CS24" s="109">
        <v>45922</v>
      </c>
      <c r="CT24" s="109">
        <v>45923</v>
      </c>
      <c r="CU24" s="109">
        <v>45924</v>
      </c>
      <c r="CV24" s="109">
        <v>45925</v>
      </c>
      <c r="CW24" s="109">
        <v>45926</v>
      </c>
      <c r="CX24" s="109">
        <v>45927</v>
      </c>
      <c r="CY24" s="109">
        <v>45928</v>
      </c>
      <c r="CZ24" s="109">
        <v>45929</v>
      </c>
      <c r="DA24" s="109">
        <v>45930</v>
      </c>
      <c r="DB24" s="109">
        <v>45931</v>
      </c>
      <c r="DC24" s="109">
        <v>45932</v>
      </c>
      <c r="DD24" s="109">
        <v>45933</v>
      </c>
      <c r="DE24" s="109">
        <v>45934</v>
      </c>
      <c r="DF24" s="109">
        <v>45935</v>
      </c>
      <c r="DG24" s="109">
        <v>45936</v>
      </c>
      <c r="DH24" s="109">
        <v>45937</v>
      </c>
      <c r="DI24" s="109">
        <v>45938</v>
      </c>
      <c r="DJ24" s="109">
        <v>45939</v>
      </c>
      <c r="DK24" s="109">
        <v>45940</v>
      </c>
      <c r="DL24" s="109">
        <v>45941</v>
      </c>
      <c r="DM24" s="109">
        <v>45942</v>
      </c>
      <c r="DN24" s="109">
        <v>45943</v>
      </c>
      <c r="DO24" s="109">
        <v>45944</v>
      </c>
      <c r="DP24" s="109">
        <v>45945</v>
      </c>
      <c r="DQ24" s="109">
        <v>45946</v>
      </c>
      <c r="DR24" s="109">
        <v>45947</v>
      </c>
      <c r="DS24" s="109">
        <v>45948</v>
      </c>
      <c r="DT24" s="109">
        <v>45949</v>
      </c>
      <c r="DU24" s="109">
        <v>45950</v>
      </c>
      <c r="DV24" s="109">
        <v>45951</v>
      </c>
      <c r="DW24" s="109">
        <v>45952</v>
      </c>
      <c r="DX24" s="109">
        <v>45953</v>
      </c>
      <c r="DY24" s="109">
        <v>45954</v>
      </c>
      <c r="DZ24" s="109">
        <v>45955</v>
      </c>
      <c r="EA24" s="109">
        <v>45956</v>
      </c>
      <c r="EB24" s="109">
        <v>45957</v>
      </c>
      <c r="EC24" s="109">
        <v>45958</v>
      </c>
      <c r="ED24" s="109">
        <v>45959</v>
      </c>
      <c r="EE24" s="109">
        <v>45960</v>
      </c>
      <c r="EF24" s="109">
        <v>45961</v>
      </c>
      <c r="EG24" s="109">
        <v>45962</v>
      </c>
      <c r="EH24" s="109">
        <v>45963</v>
      </c>
      <c r="EI24" s="109">
        <v>45964</v>
      </c>
      <c r="EJ24" s="109">
        <v>45965</v>
      </c>
      <c r="EK24" s="109">
        <v>45966</v>
      </c>
      <c r="EL24" s="109">
        <v>45967</v>
      </c>
      <c r="EM24" s="109">
        <v>45968</v>
      </c>
      <c r="EN24" s="109">
        <v>45969</v>
      </c>
      <c r="EO24" s="109">
        <v>45970</v>
      </c>
      <c r="EP24" s="109">
        <v>45971</v>
      </c>
      <c r="EQ24" s="109">
        <v>45972</v>
      </c>
      <c r="ER24" s="109">
        <v>45973</v>
      </c>
      <c r="ES24" s="109">
        <v>45974</v>
      </c>
      <c r="ET24" s="109">
        <v>45975</v>
      </c>
      <c r="EU24" s="109">
        <v>45976</v>
      </c>
    </row>
    <row r="25" ht="15.75" customHeight="1" spans="1:151">
      <c r="A25" s="110" t="s">
        <v>129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32"/>
      <c r="L25" s="116"/>
      <c r="M25" s="116"/>
      <c r="N25" s="116"/>
      <c r="O25" s="116"/>
      <c r="P25" s="116"/>
      <c r="Q25" s="116"/>
      <c r="R25" s="116"/>
      <c r="S25" s="116"/>
      <c r="T25" s="116"/>
      <c r="U25" s="116">
        <v>1</v>
      </c>
      <c r="V25" s="116"/>
      <c r="W25" s="116">
        <v>3</v>
      </c>
      <c r="X25" s="116"/>
      <c r="Y25" s="116"/>
      <c r="Z25" s="116">
        <v>2</v>
      </c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>
        <v>6</v>
      </c>
      <c r="BJ25" s="140">
        <v>3</v>
      </c>
      <c r="BK25" s="140">
        <v>2</v>
      </c>
      <c r="BL25" s="140">
        <v>3</v>
      </c>
      <c r="BM25" s="140">
        <v>5</v>
      </c>
      <c r="BN25" s="140">
        <v>1</v>
      </c>
      <c r="BO25" s="140">
        <v>3</v>
      </c>
      <c r="BP25" s="140">
        <v>4</v>
      </c>
      <c r="BQ25" s="140"/>
      <c r="BR25" s="140">
        <v>2</v>
      </c>
      <c r="BS25" s="140">
        <v>1</v>
      </c>
      <c r="BT25" s="140"/>
      <c r="BU25" s="140">
        <v>1</v>
      </c>
      <c r="BV25" s="140">
        <v>3</v>
      </c>
      <c r="BW25" s="140">
        <v>2</v>
      </c>
      <c r="BX25" s="140">
        <v>4</v>
      </c>
      <c r="BY25" s="140">
        <v>1</v>
      </c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/>
      <c r="DG25" s="140"/>
      <c r="DH25" s="140"/>
      <c r="DI25" s="140"/>
      <c r="DJ25" s="140"/>
      <c r="DK25" s="140"/>
      <c r="DL25" s="140"/>
      <c r="DM25" s="140"/>
      <c r="DN25" s="140"/>
      <c r="DO25" s="140"/>
      <c r="DP25" s="140"/>
      <c r="DQ25" s="140"/>
      <c r="DR25" s="140"/>
      <c r="DS25" s="140"/>
      <c r="DT25" s="140"/>
      <c r="DU25" s="140"/>
      <c r="DV25" s="140"/>
      <c r="DW25" s="140"/>
      <c r="DX25" s="140"/>
      <c r="DY25" s="140"/>
      <c r="DZ25" s="140"/>
      <c r="EA25" s="140"/>
      <c r="EB25" s="140"/>
      <c r="EC25" s="140"/>
      <c r="ED25" s="140"/>
      <c r="EE25" s="140"/>
      <c r="EF25" s="140"/>
      <c r="EG25" s="140"/>
      <c r="EH25" s="140"/>
      <c r="EI25" s="140"/>
      <c r="EJ25" s="140"/>
      <c r="EK25" s="140"/>
      <c r="EL25" s="140"/>
      <c r="EM25" s="140"/>
      <c r="EN25" s="140"/>
      <c r="EO25" s="140"/>
      <c r="EP25" s="140"/>
      <c r="EQ25" s="140"/>
      <c r="ER25" s="140"/>
      <c r="ES25" s="140"/>
      <c r="ET25" s="140"/>
      <c r="EU25" s="140"/>
    </row>
    <row r="26" ht="15.75" customHeight="1" spans="1:151">
      <c r="A26" s="110" t="s">
        <v>130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32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>
        <v>1</v>
      </c>
      <c r="AA26" s="138"/>
      <c r="AB26" s="138">
        <v>1</v>
      </c>
      <c r="AC26" s="138"/>
      <c r="AD26" s="138"/>
      <c r="AE26" s="138"/>
      <c r="AF26" s="138"/>
      <c r="AG26" s="138"/>
      <c r="AH26" s="138"/>
      <c r="AI26" s="138"/>
      <c r="AJ26" s="138"/>
      <c r="AK26" s="138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40"/>
      <c r="BI26" s="140"/>
      <c r="BJ26" s="140"/>
      <c r="BK26" s="140"/>
      <c r="BL26" s="140"/>
      <c r="BM26" s="140"/>
      <c r="BN26" s="140"/>
      <c r="BO26" s="140"/>
      <c r="BP26" s="140"/>
      <c r="BQ26" s="140"/>
      <c r="BR26" s="140"/>
      <c r="BS26" s="140"/>
      <c r="BT26" s="140"/>
      <c r="BU26" s="140"/>
      <c r="BV26" s="140"/>
      <c r="BW26" s="140"/>
      <c r="BX26" s="140"/>
      <c r="BY26" s="140"/>
      <c r="BZ26" s="140"/>
      <c r="CA26" s="140"/>
      <c r="CB26" s="140"/>
      <c r="CC26" s="140"/>
      <c r="CD26" s="140"/>
      <c r="CE26" s="140"/>
      <c r="CF26" s="140"/>
      <c r="CG26" s="140"/>
      <c r="CH26" s="140"/>
      <c r="CI26" s="140"/>
      <c r="CJ26" s="142"/>
      <c r="CK26" s="140"/>
      <c r="CL26" s="140"/>
      <c r="CM26" s="140"/>
      <c r="CN26" s="140"/>
      <c r="CO26" s="140"/>
      <c r="CP26" s="140"/>
      <c r="CQ26" s="140"/>
      <c r="CR26" s="140"/>
      <c r="CS26" s="140"/>
      <c r="CT26" s="140"/>
      <c r="CU26" s="140"/>
      <c r="CV26" s="140"/>
      <c r="CW26" s="140"/>
      <c r="CX26" s="140"/>
      <c r="CY26" s="140"/>
      <c r="CZ26" s="140"/>
      <c r="DA26" s="140"/>
      <c r="DB26" s="140"/>
      <c r="DC26" s="140"/>
      <c r="DD26" s="140"/>
      <c r="DE26" s="140"/>
      <c r="DF26" s="140"/>
      <c r="DG26" s="140"/>
      <c r="DH26" s="140"/>
      <c r="DI26" s="140"/>
      <c r="DJ26" s="140"/>
      <c r="DK26" s="140"/>
      <c r="DL26" s="140"/>
      <c r="DM26" s="140"/>
      <c r="DN26" s="140"/>
      <c r="DO26" s="140"/>
      <c r="DP26" s="140"/>
      <c r="DQ26" s="140"/>
      <c r="DR26" s="140"/>
      <c r="DS26" s="140"/>
      <c r="DT26" s="140"/>
      <c r="DU26" s="140"/>
      <c r="DV26" s="140"/>
      <c r="DW26" s="140"/>
      <c r="DX26" s="140"/>
      <c r="DY26" s="140"/>
      <c r="DZ26" s="140"/>
      <c r="EA26" s="140"/>
      <c r="EB26" s="140"/>
      <c r="EC26" s="140"/>
      <c r="ED26" s="140"/>
      <c r="EE26" s="140"/>
      <c r="EF26" s="140"/>
      <c r="EG26" s="140"/>
      <c r="EH26" s="140"/>
      <c r="EI26" s="140"/>
      <c r="EJ26" s="140"/>
      <c r="EK26" s="140"/>
      <c r="EL26" s="140"/>
      <c r="EM26" s="140"/>
      <c r="EN26" s="140"/>
      <c r="EO26" s="140"/>
      <c r="EP26" s="140"/>
      <c r="EQ26" s="140"/>
      <c r="ER26" s="140"/>
      <c r="ES26" s="140"/>
      <c r="ET26" s="140"/>
      <c r="EU26" s="140"/>
    </row>
    <row r="27" ht="15.75" customHeight="1" spans="1:151">
      <c r="A27" s="110" t="s">
        <v>131</v>
      </c>
      <c r="B27" s="116"/>
      <c r="C27" s="116">
        <v>2</v>
      </c>
      <c r="D27" s="116">
        <v>1</v>
      </c>
      <c r="E27" s="116">
        <v>3</v>
      </c>
      <c r="F27" s="116">
        <v>4</v>
      </c>
      <c r="G27" s="116">
        <v>1</v>
      </c>
      <c r="H27" s="116">
        <v>3</v>
      </c>
      <c r="I27" s="116"/>
      <c r="J27" s="116">
        <v>1</v>
      </c>
      <c r="K27" s="132"/>
      <c r="L27" s="116">
        <v>2</v>
      </c>
      <c r="M27" s="116">
        <v>1</v>
      </c>
      <c r="N27" s="116">
        <v>2</v>
      </c>
      <c r="O27" s="116">
        <v>3</v>
      </c>
      <c r="P27" s="116">
        <v>2</v>
      </c>
      <c r="Q27" s="116">
        <v>1</v>
      </c>
      <c r="R27" s="116">
        <v>4</v>
      </c>
      <c r="S27" s="116">
        <v>6</v>
      </c>
      <c r="T27" s="116">
        <v>10</v>
      </c>
      <c r="U27" s="116">
        <v>8</v>
      </c>
      <c r="V27" s="116">
        <v>4</v>
      </c>
      <c r="W27" s="116">
        <v>24</v>
      </c>
      <c r="X27" s="116">
        <v>4</v>
      </c>
      <c r="Y27" s="116">
        <v>18</v>
      </c>
      <c r="Z27" s="116">
        <v>16</v>
      </c>
      <c r="AA27" s="138">
        <v>13</v>
      </c>
      <c r="AB27" s="138">
        <v>9</v>
      </c>
      <c r="AC27" s="138">
        <v>17</v>
      </c>
      <c r="AD27" s="138">
        <v>16</v>
      </c>
      <c r="AE27" s="138">
        <v>2</v>
      </c>
      <c r="AF27" s="138">
        <v>4</v>
      </c>
      <c r="AG27" s="138">
        <v>8</v>
      </c>
      <c r="AH27" s="138">
        <v>6</v>
      </c>
      <c r="AI27" s="138">
        <v>1</v>
      </c>
      <c r="AJ27" s="138">
        <v>1</v>
      </c>
      <c r="AK27" s="138">
        <v>7</v>
      </c>
      <c r="AL27" s="140">
        <v>3</v>
      </c>
      <c r="AM27" s="140">
        <v>12</v>
      </c>
      <c r="AN27" s="140">
        <v>17</v>
      </c>
      <c r="AO27" s="140">
        <v>22</v>
      </c>
      <c r="AP27" s="140">
        <v>26</v>
      </c>
      <c r="AQ27" s="140">
        <v>30</v>
      </c>
      <c r="AR27" s="140">
        <v>26</v>
      </c>
      <c r="AS27" s="140">
        <v>8</v>
      </c>
      <c r="AT27" s="140">
        <v>12</v>
      </c>
      <c r="AU27" s="140">
        <v>15</v>
      </c>
      <c r="AV27" s="140">
        <v>2</v>
      </c>
      <c r="AW27" s="140">
        <v>7</v>
      </c>
      <c r="AX27" s="140">
        <v>25</v>
      </c>
      <c r="AY27" s="140">
        <v>27</v>
      </c>
      <c r="AZ27" s="140">
        <v>23</v>
      </c>
      <c r="BA27" s="140">
        <v>28</v>
      </c>
      <c r="BB27" s="140">
        <v>42</v>
      </c>
      <c r="BC27" s="140">
        <v>45</v>
      </c>
      <c r="BD27" s="140">
        <v>30</v>
      </c>
      <c r="BE27" s="140">
        <v>40</v>
      </c>
      <c r="BF27" s="140">
        <v>26</v>
      </c>
      <c r="BG27" s="140">
        <v>44</v>
      </c>
      <c r="BH27" s="140">
        <v>35</v>
      </c>
      <c r="BI27" s="140">
        <v>40</v>
      </c>
      <c r="BJ27" s="140">
        <v>26</v>
      </c>
      <c r="BK27" s="140">
        <v>25</v>
      </c>
      <c r="BL27" s="140">
        <v>18</v>
      </c>
      <c r="BM27" s="140">
        <v>16</v>
      </c>
      <c r="BN27" s="140">
        <v>43</v>
      </c>
      <c r="BO27" s="140">
        <v>15</v>
      </c>
      <c r="BP27" s="140">
        <v>15</v>
      </c>
      <c r="BQ27" s="140">
        <v>32</v>
      </c>
      <c r="BR27" s="140">
        <v>33</v>
      </c>
      <c r="BS27" s="140">
        <v>52</v>
      </c>
      <c r="BT27" s="140">
        <v>31</v>
      </c>
      <c r="BU27" s="140">
        <v>23</v>
      </c>
      <c r="BV27" s="140">
        <v>32</v>
      </c>
      <c r="BW27" s="140">
        <v>18</v>
      </c>
      <c r="BX27" s="140">
        <v>12</v>
      </c>
      <c r="BY27" s="140">
        <v>29</v>
      </c>
      <c r="BZ27" s="140">
        <v>20</v>
      </c>
      <c r="CA27" s="140"/>
      <c r="CB27" s="140"/>
      <c r="CC27" s="140"/>
      <c r="CD27" s="140"/>
      <c r="CE27" s="140"/>
      <c r="CF27" s="140"/>
      <c r="CG27" s="140"/>
      <c r="CH27" s="140"/>
      <c r="CI27" s="140"/>
      <c r="CJ27" s="140"/>
      <c r="CK27" s="140"/>
      <c r="CL27" s="140"/>
      <c r="CM27" s="140"/>
      <c r="CN27" s="140"/>
      <c r="CO27" s="140"/>
      <c r="CP27" s="140"/>
      <c r="CQ27" s="140"/>
      <c r="CR27" s="140"/>
      <c r="CS27" s="140"/>
      <c r="CT27" s="140"/>
      <c r="CU27" s="140"/>
      <c r="CV27" s="140"/>
      <c r="CW27" s="140"/>
      <c r="CX27" s="140"/>
      <c r="CY27" s="140"/>
      <c r="CZ27" s="140"/>
      <c r="DA27" s="140"/>
      <c r="DB27" s="140"/>
      <c r="DC27" s="140"/>
      <c r="DD27" s="140"/>
      <c r="DE27" s="140"/>
      <c r="DF27" s="140"/>
      <c r="DG27" s="140"/>
      <c r="DH27" s="140"/>
      <c r="DI27" s="140"/>
      <c r="DJ27" s="140"/>
      <c r="DK27" s="140"/>
      <c r="DL27" s="140"/>
      <c r="DM27" s="140"/>
      <c r="DN27" s="140"/>
      <c r="DO27" s="140"/>
      <c r="DP27" s="140"/>
      <c r="DQ27" s="140"/>
      <c r="DR27" s="140"/>
      <c r="DS27" s="140"/>
      <c r="DT27" s="140"/>
      <c r="DU27" s="140"/>
      <c r="DV27" s="140"/>
      <c r="DW27" s="140"/>
      <c r="DX27" s="140"/>
      <c r="DY27" s="140"/>
      <c r="DZ27" s="140"/>
      <c r="EA27" s="140"/>
      <c r="EB27" s="140"/>
      <c r="EC27" s="140"/>
      <c r="ED27" s="140"/>
      <c r="EE27" s="140"/>
      <c r="EF27" s="140"/>
      <c r="EG27" s="140"/>
      <c r="EH27" s="140"/>
      <c r="EI27" s="140"/>
      <c r="EJ27" s="140"/>
      <c r="EK27" s="140"/>
      <c r="EL27" s="140"/>
      <c r="EM27" s="140"/>
      <c r="EN27" s="140"/>
      <c r="EO27" s="140"/>
      <c r="EP27" s="140"/>
      <c r="EQ27" s="140"/>
      <c r="ER27" s="140"/>
      <c r="ES27" s="140"/>
      <c r="ET27" s="140"/>
      <c r="EU27" s="140"/>
    </row>
    <row r="28" ht="15.75" customHeight="1" spans="1:151">
      <c r="A28" s="110" t="s">
        <v>132</v>
      </c>
      <c r="B28" s="116"/>
      <c r="C28" s="116"/>
      <c r="D28" s="116">
        <v>10</v>
      </c>
      <c r="E28" s="116">
        <v>4</v>
      </c>
      <c r="F28" s="116">
        <v>4</v>
      </c>
      <c r="G28" s="116">
        <v>2</v>
      </c>
      <c r="H28" s="116">
        <v>2</v>
      </c>
      <c r="I28" s="116">
        <v>1</v>
      </c>
      <c r="J28" s="116">
        <v>5</v>
      </c>
      <c r="K28" s="132">
        <v>6</v>
      </c>
      <c r="L28" s="116">
        <v>10</v>
      </c>
      <c r="M28" s="116">
        <v>9</v>
      </c>
      <c r="N28" s="116">
        <v>11</v>
      </c>
      <c r="O28" s="116">
        <v>6</v>
      </c>
      <c r="P28" s="116">
        <v>7</v>
      </c>
      <c r="Q28" s="116">
        <v>9</v>
      </c>
      <c r="R28" s="116">
        <v>18</v>
      </c>
      <c r="S28" s="116">
        <v>11</v>
      </c>
      <c r="T28" s="116">
        <v>25</v>
      </c>
      <c r="U28" s="116">
        <v>16</v>
      </c>
      <c r="V28" s="116">
        <v>16</v>
      </c>
      <c r="W28" s="116">
        <v>21</v>
      </c>
      <c r="X28" s="116">
        <v>16</v>
      </c>
      <c r="Y28" s="116">
        <v>16</v>
      </c>
      <c r="Z28" s="116">
        <v>14</v>
      </c>
      <c r="AA28" s="138">
        <v>15</v>
      </c>
      <c r="AB28" s="138">
        <v>17</v>
      </c>
      <c r="AC28" s="138">
        <v>25</v>
      </c>
      <c r="AD28" s="138">
        <v>18</v>
      </c>
      <c r="AE28" s="138">
        <v>29</v>
      </c>
      <c r="AF28" s="138">
        <v>14</v>
      </c>
      <c r="AG28" s="138">
        <v>27</v>
      </c>
      <c r="AH28" s="138">
        <v>16</v>
      </c>
      <c r="AI28" s="138">
        <v>11</v>
      </c>
      <c r="AJ28" s="138">
        <v>14</v>
      </c>
      <c r="AK28" s="138">
        <v>5</v>
      </c>
      <c r="AL28" s="140">
        <v>10</v>
      </c>
      <c r="AM28" s="140">
        <v>22</v>
      </c>
      <c r="AN28" s="140">
        <v>20</v>
      </c>
      <c r="AO28" s="140">
        <v>34</v>
      </c>
      <c r="AP28" s="140">
        <v>23</v>
      </c>
      <c r="AQ28" s="140">
        <v>14</v>
      </c>
      <c r="AR28" s="140">
        <v>6</v>
      </c>
      <c r="AS28" s="140">
        <v>12</v>
      </c>
      <c r="AT28" s="140">
        <v>19</v>
      </c>
      <c r="AU28" s="140">
        <v>8</v>
      </c>
      <c r="AV28" s="140">
        <v>4</v>
      </c>
      <c r="AW28" s="140">
        <v>3</v>
      </c>
      <c r="AX28" s="140">
        <v>16</v>
      </c>
      <c r="AY28" s="140">
        <v>24</v>
      </c>
      <c r="AZ28" s="140">
        <v>19</v>
      </c>
      <c r="BA28" s="140">
        <v>18</v>
      </c>
      <c r="BB28" s="140">
        <v>31</v>
      </c>
      <c r="BC28" s="140">
        <v>36</v>
      </c>
      <c r="BD28" s="140">
        <v>13</v>
      </c>
      <c r="BE28" s="140">
        <v>24</v>
      </c>
      <c r="BF28" s="140">
        <v>20</v>
      </c>
      <c r="BG28" s="140">
        <v>29</v>
      </c>
      <c r="BH28" s="140">
        <v>24</v>
      </c>
      <c r="BI28" s="140">
        <v>34</v>
      </c>
      <c r="BJ28" s="140">
        <v>32</v>
      </c>
      <c r="BK28" s="140">
        <v>34</v>
      </c>
      <c r="BL28" s="140">
        <v>13</v>
      </c>
      <c r="BM28" s="140">
        <v>17</v>
      </c>
      <c r="BN28" s="140">
        <v>26</v>
      </c>
      <c r="BO28" s="140">
        <v>12</v>
      </c>
      <c r="BP28" s="140">
        <v>11</v>
      </c>
      <c r="BQ28" s="140">
        <v>17</v>
      </c>
      <c r="BR28" s="140">
        <v>25</v>
      </c>
      <c r="BS28" s="140">
        <v>28</v>
      </c>
      <c r="BT28" s="140">
        <v>39</v>
      </c>
      <c r="BU28" s="140">
        <v>35</v>
      </c>
      <c r="BV28" s="140">
        <v>30</v>
      </c>
      <c r="BW28" s="140">
        <v>24</v>
      </c>
      <c r="BX28" s="140">
        <v>26</v>
      </c>
      <c r="BY28" s="140">
        <v>11</v>
      </c>
      <c r="BZ28" s="140">
        <v>31</v>
      </c>
      <c r="CA28" s="140"/>
      <c r="CB28" s="140"/>
      <c r="CC28" s="140"/>
      <c r="CD28" s="140"/>
      <c r="CE28" s="140"/>
      <c r="CF28" s="140"/>
      <c r="CG28" s="140"/>
      <c r="CH28" s="140"/>
      <c r="CI28" s="140"/>
      <c r="CJ28" s="140"/>
      <c r="CK28" s="140"/>
      <c r="CL28" s="140"/>
      <c r="CM28" s="140"/>
      <c r="CN28" s="140"/>
      <c r="CO28" s="140"/>
      <c r="CP28" s="140"/>
      <c r="CQ28" s="140"/>
      <c r="CR28" s="140"/>
      <c r="CS28" s="140"/>
      <c r="CT28" s="140"/>
      <c r="CU28" s="140"/>
      <c r="CV28" s="140"/>
      <c r="CW28" s="140"/>
      <c r="CX28" s="140"/>
      <c r="CY28" s="140"/>
      <c r="CZ28" s="140"/>
      <c r="DA28" s="140"/>
      <c r="DB28" s="140"/>
      <c r="DC28" s="140"/>
      <c r="DD28" s="140"/>
      <c r="DE28" s="140"/>
      <c r="DF28" s="140"/>
      <c r="DG28" s="140"/>
      <c r="DH28" s="140"/>
      <c r="DI28" s="140"/>
      <c r="DJ28" s="140"/>
      <c r="DK28" s="140"/>
      <c r="DL28" s="140"/>
      <c r="DM28" s="140"/>
      <c r="DN28" s="140"/>
      <c r="DO28" s="140"/>
      <c r="DP28" s="140"/>
      <c r="DQ28" s="140"/>
      <c r="DR28" s="140"/>
      <c r="DS28" s="140"/>
      <c r="DT28" s="140"/>
      <c r="DU28" s="140"/>
      <c r="DV28" s="140"/>
      <c r="DW28" s="140"/>
      <c r="DX28" s="140"/>
      <c r="DY28" s="140"/>
      <c r="DZ28" s="140"/>
      <c r="EA28" s="140"/>
      <c r="EB28" s="140"/>
      <c r="EC28" s="140"/>
      <c r="ED28" s="140"/>
      <c r="EE28" s="140"/>
      <c r="EF28" s="140"/>
      <c r="EG28" s="140"/>
      <c r="EH28" s="140"/>
      <c r="EI28" s="140"/>
      <c r="EJ28" s="140"/>
      <c r="EK28" s="140"/>
      <c r="EL28" s="140"/>
      <c r="EM28" s="140"/>
      <c r="EN28" s="140"/>
      <c r="EO28" s="140"/>
      <c r="EP28" s="140"/>
      <c r="EQ28" s="140"/>
      <c r="ER28" s="140"/>
      <c r="ES28" s="140"/>
      <c r="ET28" s="140"/>
      <c r="EU28" s="140"/>
    </row>
    <row r="29" ht="15.75" customHeight="1" spans="1:151">
      <c r="A29" s="110" t="s">
        <v>133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32"/>
      <c r="L29" s="117"/>
      <c r="M29" s="117"/>
      <c r="N29" s="131"/>
      <c r="O29" s="131"/>
      <c r="P29" s="131"/>
      <c r="Q29" s="131"/>
      <c r="R29" s="132"/>
      <c r="S29" s="132"/>
      <c r="T29" s="132"/>
      <c r="U29" s="132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0"/>
      <c r="BV29" s="140"/>
      <c r="BW29" s="140"/>
      <c r="BX29" s="140"/>
      <c r="BY29" s="140"/>
      <c r="BZ29" s="140"/>
      <c r="CA29" s="140"/>
      <c r="CB29" s="140"/>
      <c r="CC29" s="140"/>
      <c r="CD29" s="140"/>
      <c r="CE29" s="140"/>
      <c r="CF29" s="140"/>
      <c r="CG29" s="140"/>
      <c r="CH29" s="140"/>
      <c r="CI29" s="140"/>
      <c r="CJ29" s="140"/>
      <c r="CK29" s="140"/>
      <c r="CL29" s="140"/>
      <c r="CM29" s="140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40"/>
      <c r="DF29" s="140"/>
      <c r="DG29" s="140"/>
      <c r="DH29" s="140"/>
      <c r="DI29" s="140"/>
      <c r="DJ29" s="140"/>
      <c r="DK29" s="140"/>
      <c r="DL29" s="140"/>
      <c r="DM29" s="140"/>
      <c r="DN29" s="140"/>
      <c r="DO29" s="140"/>
      <c r="DP29" s="140"/>
      <c r="DQ29" s="140"/>
      <c r="DR29" s="140"/>
      <c r="DS29" s="140"/>
      <c r="DT29" s="140"/>
      <c r="DU29" s="140"/>
      <c r="DV29" s="140"/>
      <c r="DW29" s="140"/>
      <c r="DX29" s="140"/>
      <c r="DY29" s="140"/>
      <c r="DZ29" s="140"/>
      <c r="EA29" s="140"/>
      <c r="EB29" s="140"/>
      <c r="EC29" s="140"/>
      <c r="ED29" s="140"/>
      <c r="EE29" s="140"/>
      <c r="EF29" s="140"/>
      <c r="EG29" s="140"/>
      <c r="EH29" s="140"/>
      <c r="EI29" s="140"/>
      <c r="EJ29" s="140"/>
      <c r="EK29" s="140"/>
      <c r="EL29" s="140"/>
      <c r="EM29" s="140"/>
      <c r="EN29" s="140"/>
      <c r="EO29" s="140"/>
      <c r="EP29" s="140"/>
      <c r="EQ29" s="140"/>
      <c r="ER29" s="140"/>
      <c r="ES29" s="140"/>
      <c r="ET29" s="140"/>
      <c r="EU29" s="140"/>
    </row>
    <row r="30" ht="15.75" customHeight="1" spans="1:151">
      <c r="A30" s="110" t="s">
        <v>134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32"/>
      <c r="L30" s="117"/>
      <c r="M30" s="117"/>
      <c r="N30" s="131"/>
      <c r="O30" s="131"/>
      <c r="P30" s="131"/>
      <c r="Q30" s="131"/>
      <c r="R30" s="132"/>
      <c r="S30" s="132"/>
      <c r="T30" s="132"/>
      <c r="U30" s="132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0"/>
      <c r="BN30" s="140"/>
      <c r="BO30" s="140"/>
      <c r="BP30" s="140"/>
      <c r="BQ30" s="140"/>
      <c r="BR30" s="140"/>
      <c r="BS30" s="140"/>
      <c r="BT30" s="140"/>
      <c r="BU30" s="140"/>
      <c r="BV30" s="140"/>
      <c r="BW30" s="140"/>
      <c r="BX30" s="140"/>
      <c r="BY30" s="140"/>
      <c r="BZ30" s="140"/>
      <c r="CA30" s="140"/>
      <c r="CB30" s="140"/>
      <c r="CC30" s="140"/>
      <c r="CD30" s="140"/>
      <c r="CE30" s="140"/>
      <c r="CF30" s="140"/>
      <c r="CG30" s="140"/>
      <c r="CH30" s="140"/>
      <c r="CI30" s="140"/>
      <c r="CJ30" s="140"/>
      <c r="CK30" s="140"/>
      <c r="CL30" s="140"/>
      <c r="CM30" s="140"/>
      <c r="CN30" s="140"/>
      <c r="CO30" s="140"/>
      <c r="CP30" s="140"/>
      <c r="CQ30" s="140"/>
      <c r="CR30" s="140"/>
      <c r="CS30" s="140"/>
      <c r="CT30" s="140"/>
      <c r="CU30" s="140"/>
      <c r="CV30" s="140"/>
      <c r="CW30" s="140"/>
      <c r="CX30" s="140"/>
      <c r="CY30" s="140"/>
      <c r="CZ30" s="140"/>
      <c r="DA30" s="140"/>
      <c r="DB30" s="140"/>
      <c r="DC30" s="140"/>
      <c r="DD30" s="140"/>
      <c r="DE30" s="140"/>
      <c r="DF30" s="140"/>
      <c r="DG30" s="140"/>
      <c r="DH30" s="140"/>
      <c r="DI30" s="140"/>
      <c r="DJ30" s="140"/>
      <c r="DK30" s="140"/>
      <c r="DL30" s="140"/>
      <c r="DM30" s="140"/>
      <c r="DN30" s="140"/>
      <c r="DO30" s="140"/>
      <c r="DP30" s="140"/>
      <c r="DQ30" s="140"/>
      <c r="DR30" s="140"/>
      <c r="DS30" s="140"/>
      <c r="DT30" s="140"/>
      <c r="DU30" s="140"/>
      <c r="DV30" s="140"/>
      <c r="DW30" s="140"/>
      <c r="DX30" s="140"/>
      <c r="DY30" s="140"/>
      <c r="DZ30" s="140"/>
      <c r="EA30" s="140"/>
      <c r="EB30" s="140"/>
      <c r="EC30" s="140"/>
      <c r="ED30" s="140"/>
      <c r="EE30" s="140"/>
      <c r="EF30" s="140"/>
      <c r="EG30" s="140"/>
      <c r="EH30" s="140"/>
      <c r="EI30" s="140"/>
      <c r="EJ30" s="140"/>
      <c r="EK30" s="140"/>
      <c r="EL30" s="140"/>
      <c r="EM30" s="140"/>
      <c r="EN30" s="140"/>
      <c r="EO30" s="140"/>
      <c r="EP30" s="140"/>
      <c r="EQ30" s="140"/>
      <c r="ER30" s="140"/>
      <c r="ES30" s="140"/>
      <c r="ET30" s="140"/>
      <c r="EU30" s="140"/>
    </row>
    <row r="31" ht="15.75" customHeight="1" spans="1:151">
      <c r="A31" s="110" t="s">
        <v>135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32"/>
      <c r="L31" s="117"/>
      <c r="M31" s="117"/>
      <c r="N31" s="131"/>
      <c r="O31" s="131"/>
      <c r="P31" s="131"/>
      <c r="Q31" s="131"/>
      <c r="R31" s="132"/>
      <c r="S31" s="132"/>
      <c r="T31" s="132"/>
      <c r="U31" s="132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  <c r="BL31" s="140"/>
      <c r="BM31" s="140"/>
      <c r="BN31" s="140"/>
      <c r="BO31" s="140"/>
      <c r="BP31" s="140"/>
      <c r="BQ31" s="140"/>
      <c r="BR31" s="140"/>
      <c r="BS31" s="140"/>
      <c r="BT31" s="140"/>
      <c r="BU31" s="140"/>
      <c r="BV31" s="140"/>
      <c r="BW31" s="140"/>
      <c r="BX31" s="140"/>
      <c r="BY31" s="140"/>
      <c r="BZ31" s="140"/>
      <c r="CA31" s="140"/>
      <c r="CB31" s="140"/>
      <c r="CC31" s="140"/>
      <c r="CD31" s="140"/>
      <c r="CE31" s="140"/>
      <c r="CF31" s="140"/>
      <c r="CG31" s="140"/>
      <c r="CH31" s="140"/>
      <c r="CI31" s="140"/>
      <c r="CJ31" s="140"/>
      <c r="CK31" s="140"/>
      <c r="CL31" s="140"/>
      <c r="CM31" s="140"/>
      <c r="CN31" s="140"/>
      <c r="CO31" s="140"/>
      <c r="CP31" s="140"/>
      <c r="CQ31" s="140"/>
      <c r="CR31" s="140"/>
      <c r="CS31" s="140"/>
      <c r="CT31" s="140"/>
      <c r="CU31" s="140"/>
      <c r="CV31" s="140"/>
      <c r="CW31" s="140"/>
      <c r="CX31" s="140"/>
      <c r="CY31" s="140"/>
      <c r="CZ31" s="140"/>
      <c r="DA31" s="140"/>
      <c r="DB31" s="140"/>
      <c r="DC31" s="140"/>
      <c r="DD31" s="140"/>
      <c r="DE31" s="140"/>
      <c r="DF31" s="140"/>
      <c r="DG31" s="140"/>
      <c r="DH31" s="140"/>
      <c r="DI31" s="140"/>
      <c r="DJ31" s="140"/>
      <c r="DK31" s="140"/>
      <c r="DL31" s="140"/>
      <c r="DM31" s="140"/>
      <c r="DN31" s="140"/>
      <c r="DO31" s="140"/>
      <c r="DP31" s="140"/>
      <c r="DQ31" s="140"/>
      <c r="DR31" s="140"/>
      <c r="DS31" s="140"/>
      <c r="DT31" s="140"/>
      <c r="DU31" s="140"/>
      <c r="DV31" s="140"/>
      <c r="DW31" s="140"/>
      <c r="DX31" s="140"/>
      <c r="DY31" s="140"/>
      <c r="DZ31" s="140"/>
      <c r="EA31" s="140"/>
      <c r="EB31" s="140"/>
      <c r="EC31" s="140"/>
      <c r="ED31" s="140"/>
      <c r="EE31" s="140"/>
      <c r="EF31" s="140"/>
      <c r="EG31" s="140"/>
      <c r="EH31" s="140"/>
      <c r="EI31" s="140"/>
      <c r="EJ31" s="140"/>
      <c r="EK31" s="140"/>
      <c r="EL31" s="140"/>
      <c r="EM31" s="140"/>
      <c r="EN31" s="140"/>
      <c r="EO31" s="140"/>
      <c r="EP31" s="140"/>
      <c r="EQ31" s="140"/>
      <c r="ER31" s="140"/>
      <c r="ES31" s="140"/>
      <c r="ET31" s="140"/>
      <c r="EU31" s="140"/>
    </row>
    <row r="32" ht="15.75" customHeight="1" spans="1:151">
      <c r="A32" s="110" t="s">
        <v>136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32"/>
      <c r="L32" s="117"/>
      <c r="M32" s="117"/>
      <c r="N32" s="131"/>
      <c r="O32" s="131"/>
      <c r="P32" s="131"/>
      <c r="Q32" s="131"/>
      <c r="R32" s="132"/>
      <c r="S32" s="132"/>
      <c r="T32" s="132"/>
      <c r="U32" s="132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0"/>
      <c r="BM32" s="140"/>
      <c r="BN32" s="140"/>
      <c r="BO32" s="140"/>
      <c r="BP32" s="140"/>
      <c r="BQ32" s="140"/>
      <c r="BR32" s="140"/>
      <c r="BS32" s="140"/>
      <c r="BT32" s="140">
        <v>1</v>
      </c>
      <c r="BU32" s="140">
        <v>9</v>
      </c>
      <c r="BV32" s="140">
        <v>7</v>
      </c>
      <c r="BW32" s="140">
        <v>11</v>
      </c>
      <c r="BX32" s="140">
        <v>10</v>
      </c>
      <c r="BY32" s="140"/>
      <c r="BZ32" s="140"/>
      <c r="CA32" s="140"/>
      <c r="CB32" s="140"/>
      <c r="CC32" s="140"/>
      <c r="CD32" s="140"/>
      <c r="CE32" s="140"/>
      <c r="CF32" s="140"/>
      <c r="CG32" s="140"/>
      <c r="CH32" s="140"/>
      <c r="CI32" s="140"/>
      <c r="CJ32" s="140"/>
      <c r="CK32" s="140"/>
      <c r="CL32" s="140"/>
      <c r="CM32" s="140"/>
      <c r="CN32" s="140"/>
      <c r="CO32" s="140"/>
      <c r="CP32" s="140"/>
      <c r="CQ32" s="140"/>
      <c r="CR32" s="140"/>
      <c r="CS32" s="140"/>
      <c r="CT32" s="140"/>
      <c r="CU32" s="140"/>
      <c r="CV32" s="140"/>
      <c r="CW32" s="140"/>
      <c r="CX32" s="140"/>
      <c r="CY32" s="140"/>
      <c r="CZ32" s="140"/>
      <c r="DA32" s="140"/>
      <c r="DB32" s="140"/>
      <c r="DC32" s="140"/>
      <c r="DD32" s="140"/>
      <c r="DE32" s="140"/>
      <c r="DF32" s="140"/>
      <c r="DG32" s="140"/>
      <c r="DH32" s="140"/>
      <c r="DI32" s="140"/>
      <c r="DJ32" s="140"/>
      <c r="DK32" s="140"/>
      <c r="DL32" s="140"/>
      <c r="DM32" s="140"/>
      <c r="DN32" s="140"/>
      <c r="DO32" s="140"/>
      <c r="DP32" s="140"/>
      <c r="DQ32" s="140"/>
      <c r="DR32" s="140"/>
      <c r="DS32" s="140"/>
      <c r="DT32" s="140"/>
      <c r="DU32" s="140"/>
      <c r="DV32" s="140"/>
      <c r="DW32" s="140"/>
      <c r="DX32" s="140"/>
      <c r="DY32" s="140"/>
      <c r="DZ32" s="140"/>
      <c r="EA32" s="140"/>
      <c r="EB32" s="140"/>
      <c r="EC32" s="140"/>
      <c r="ED32" s="140"/>
      <c r="EE32" s="140"/>
      <c r="EF32" s="140"/>
      <c r="EG32" s="140"/>
      <c r="EH32" s="140"/>
      <c r="EI32" s="140"/>
      <c r="EJ32" s="140"/>
      <c r="EK32" s="140"/>
      <c r="EL32" s="140"/>
      <c r="EM32" s="140"/>
      <c r="EN32" s="140"/>
      <c r="EO32" s="140"/>
      <c r="EP32" s="140"/>
      <c r="EQ32" s="140"/>
      <c r="ER32" s="140"/>
      <c r="ES32" s="140"/>
      <c r="ET32" s="140"/>
      <c r="EU32" s="140"/>
    </row>
    <row r="33" ht="15.75" customHeight="1" spans="1:151">
      <c r="A33" s="110" t="s">
        <v>137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32"/>
      <c r="L33" s="117"/>
      <c r="M33" s="117"/>
      <c r="N33" s="131"/>
      <c r="O33" s="131"/>
      <c r="P33" s="131"/>
      <c r="Q33" s="131"/>
      <c r="R33" s="132"/>
      <c r="S33" s="132"/>
      <c r="T33" s="132"/>
      <c r="U33" s="132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0"/>
      <c r="DH33" s="140"/>
      <c r="DI33" s="140"/>
      <c r="DJ33" s="140"/>
      <c r="DK33" s="140"/>
      <c r="DL33" s="140"/>
      <c r="DM33" s="140"/>
      <c r="DN33" s="140"/>
      <c r="DO33" s="140"/>
      <c r="DP33" s="140"/>
      <c r="DQ33" s="140"/>
      <c r="DR33" s="140"/>
      <c r="DS33" s="140"/>
      <c r="DT33" s="140"/>
      <c r="DU33" s="140"/>
      <c r="DV33" s="140"/>
      <c r="DW33" s="140"/>
      <c r="DX33" s="140"/>
      <c r="DY33" s="140"/>
      <c r="DZ33" s="140"/>
      <c r="EA33" s="140"/>
      <c r="EB33" s="140"/>
      <c r="EC33" s="140"/>
      <c r="ED33" s="140"/>
      <c r="EE33" s="140"/>
      <c r="EF33" s="140"/>
      <c r="EG33" s="140"/>
      <c r="EH33" s="140"/>
      <c r="EI33" s="140"/>
      <c r="EJ33" s="140"/>
      <c r="EK33" s="140"/>
      <c r="EL33" s="140"/>
      <c r="EM33" s="140"/>
      <c r="EN33" s="140"/>
      <c r="EO33" s="140"/>
      <c r="EP33" s="140"/>
      <c r="EQ33" s="140"/>
      <c r="ER33" s="140"/>
      <c r="ES33" s="140"/>
      <c r="ET33" s="140"/>
      <c r="EU33" s="140"/>
    </row>
    <row r="34" ht="15.75" customHeight="1" spans="1:151">
      <c r="A34" s="110" t="s">
        <v>138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32"/>
      <c r="W34" s="117"/>
      <c r="X34" s="117"/>
      <c r="Y34" s="117"/>
      <c r="Z34" s="117"/>
      <c r="AA34" s="139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40"/>
      <c r="BI34" s="140"/>
      <c r="BJ34" s="140"/>
      <c r="BK34" s="140"/>
      <c r="BL34" s="140"/>
      <c r="BM34" s="140"/>
      <c r="BN34" s="140"/>
      <c r="BO34" s="140"/>
      <c r="BP34" s="140"/>
      <c r="BQ34" s="140"/>
      <c r="BR34" s="140"/>
      <c r="BS34" s="140"/>
      <c r="BT34" s="140"/>
      <c r="BU34" s="140"/>
      <c r="BV34" s="140"/>
      <c r="BW34" s="140"/>
      <c r="BX34" s="129"/>
      <c r="BY34" s="140"/>
      <c r="BZ34" s="140"/>
      <c r="CA34" s="140"/>
      <c r="CB34" s="140"/>
      <c r="CC34" s="140"/>
      <c r="CD34" s="140"/>
      <c r="CE34" s="140"/>
      <c r="CF34" s="140"/>
      <c r="CG34" s="140"/>
      <c r="CH34" s="140"/>
      <c r="CI34" s="140"/>
      <c r="CJ34" s="140"/>
      <c r="CK34" s="140"/>
      <c r="CL34" s="140"/>
      <c r="CM34" s="140"/>
      <c r="CN34" s="140"/>
      <c r="CO34" s="140"/>
      <c r="CP34" s="140"/>
      <c r="CQ34" s="140"/>
      <c r="CR34" s="140"/>
      <c r="CS34" s="140"/>
      <c r="CT34" s="140"/>
      <c r="CU34" s="140"/>
      <c r="CV34" s="140"/>
      <c r="CW34" s="140"/>
      <c r="CX34" s="140"/>
      <c r="CY34" s="140"/>
      <c r="CZ34" s="140"/>
      <c r="DA34" s="140"/>
      <c r="DB34" s="140"/>
      <c r="DC34" s="140"/>
      <c r="DD34" s="140"/>
      <c r="DE34" s="140"/>
      <c r="DF34" s="140"/>
      <c r="DG34" s="140"/>
      <c r="DH34" s="140"/>
      <c r="DI34" s="140"/>
      <c r="DJ34" s="140"/>
      <c r="DK34" s="140"/>
      <c r="DL34" s="140"/>
      <c r="DM34" s="140"/>
      <c r="DN34" s="140"/>
      <c r="DO34" s="140"/>
      <c r="DP34" s="140"/>
      <c r="DQ34" s="140"/>
      <c r="DR34" s="140"/>
      <c r="DS34" s="140"/>
      <c r="DT34" s="140"/>
      <c r="DU34" s="140"/>
      <c r="DV34" s="140"/>
      <c r="DW34" s="140"/>
      <c r="DX34" s="140"/>
      <c r="DY34" s="140"/>
      <c r="DZ34" s="140"/>
      <c r="EA34" s="140"/>
      <c r="EB34" s="140"/>
      <c r="EC34" s="140"/>
      <c r="ED34" s="140"/>
      <c r="EE34" s="140"/>
      <c r="EF34" s="140"/>
      <c r="EG34" s="140"/>
      <c r="EH34" s="140"/>
      <c r="EI34" s="140"/>
      <c r="EJ34" s="140"/>
      <c r="EK34" s="140"/>
      <c r="EL34" s="140"/>
      <c r="EM34" s="140"/>
      <c r="EN34" s="140"/>
      <c r="EO34" s="140"/>
      <c r="EP34" s="140"/>
      <c r="EQ34" s="140"/>
      <c r="ER34" s="140"/>
      <c r="ES34" s="140"/>
      <c r="ET34" s="140"/>
      <c r="EU34" s="140"/>
    </row>
    <row r="35" ht="15.75" customHeight="1" spans="1:151">
      <c r="A35" s="110" t="s">
        <v>139</v>
      </c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  <c r="DJ35" s="140"/>
      <c r="DK35" s="140"/>
      <c r="DL35" s="140"/>
      <c r="DM35" s="140"/>
      <c r="DN35" s="140"/>
      <c r="DO35" s="140"/>
      <c r="DP35" s="140"/>
      <c r="DQ35" s="140"/>
      <c r="DR35" s="140"/>
      <c r="DS35" s="140"/>
      <c r="DT35" s="140"/>
      <c r="DU35" s="140"/>
      <c r="DV35" s="140"/>
      <c r="DW35" s="140"/>
      <c r="DX35" s="140"/>
      <c r="DY35" s="140"/>
      <c r="DZ35" s="140"/>
      <c r="EA35" s="140"/>
      <c r="EB35" s="140"/>
      <c r="EC35" s="140"/>
      <c r="ED35" s="140"/>
      <c r="EE35" s="140"/>
      <c r="EF35" s="140"/>
      <c r="EG35" s="140"/>
      <c r="EH35" s="140"/>
      <c r="EI35" s="140"/>
      <c r="EJ35" s="140"/>
      <c r="EK35" s="140"/>
      <c r="EL35" s="140"/>
      <c r="EM35" s="140"/>
      <c r="EN35" s="140"/>
      <c r="EO35" s="140"/>
      <c r="EP35" s="140"/>
      <c r="EQ35" s="140"/>
      <c r="ER35" s="140"/>
      <c r="ES35" s="140"/>
      <c r="ET35" s="140"/>
      <c r="EU35" s="140"/>
    </row>
    <row r="36" ht="15.75" customHeight="1" spans="1:151">
      <c r="A36" s="110" t="s">
        <v>101</v>
      </c>
      <c r="B36" s="116"/>
      <c r="C36" s="116"/>
      <c r="D36" s="116"/>
      <c r="E36" s="116">
        <v>4</v>
      </c>
      <c r="F36" s="116"/>
      <c r="G36" s="116"/>
      <c r="H36" s="116">
        <v>2</v>
      </c>
      <c r="I36" s="116">
        <v>2</v>
      </c>
      <c r="J36" s="116">
        <v>1</v>
      </c>
      <c r="K36" s="132">
        <v>15</v>
      </c>
      <c r="L36" s="116">
        <v>4</v>
      </c>
      <c r="M36" s="116">
        <v>11</v>
      </c>
      <c r="N36" s="116">
        <v>1</v>
      </c>
      <c r="O36" s="116">
        <v>7</v>
      </c>
      <c r="P36" s="116"/>
      <c r="Q36" s="116"/>
      <c r="R36" s="116"/>
      <c r="S36" s="116">
        <v>3</v>
      </c>
      <c r="T36" s="116">
        <v>3</v>
      </c>
      <c r="U36" s="116">
        <v>8</v>
      </c>
      <c r="V36" s="116">
        <v>6</v>
      </c>
      <c r="W36" s="116">
        <v>3</v>
      </c>
      <c r="X36" s="116">
        <v>4</v>
      </c>
      <c r="Y36" s="116">
        <v>4</v>
      </c>
      <c r="Z36" s="116">
        <v>6</v>
      </c>
      <c r="AA36" s="138">
        <v>7</v>
      </c>
      <c r="AB36" s="138">
        <v>2</v>
      </c>
      <c r="AC36" s="138"/>
      <c r="AD36" s="138">
        <v>6</v>
      </c>
      <c r="AE36" s="138">
        <v>1</v>
      </c>
      <c r="AF36" s="138"/>
      <c r="AG36" s="138"/>
      <c r="AH36" s="138"/>
      <c r="AI36" s="138">
        <v>3</v>
      </c>
      <c r="AJ36" s="138">
        <v>4</v>
      </c>
      <c r="AK36" s="138">
        <v>12</v>
      </c>
      <c r="AL36" s="140">
        <v>11</v>
      </c>
      <c r="AM36" s="140">
        <v>11</v>
      </c>
      <c r="AN36" s="140">
        <v>8</v>
      </c>
      <c r="AO36" s="140">
        <v>12</v>
      </c>
      <c r="AP36" s="140">
        <v>11</v>
      </c>
      <c r="AQ36" s="140">
        <v>13</v>
      </c>
      <c r="AR36" s="140">
        <v>5</v>
      </c>
      <c r="AS36" s="140"/>
      <c r="AT36" s="140">
        <v>1</v>
      </c>
      <c r="AU36" s="140"/>
      <c r="AV36" s="140"/>
      <c r="AW36" s="140"/>
      <c r="AX36" s="140">
        <v>4</v>
      </c>
      <c r="AY36" s="140">
        <v>1</v>
      </c>
      <c r="AZ36" s="140">
        <v>15</v>
      </c>
      <c r="BA36" s="140">
        <v>11</v>
      </c>
      <c r="BB36" s="140">
        <v>19</v>
      </c>
      <c r="BC36" s="140">
        <v>17</v>
      </c>
      <c r="BD36" s="140">
        <v>11</v>
      </c>
      <c r="BE36" s="140">
        <v>26</v>
      </c>
      <c r="BF36" s="140">
        <v>12</v>
      </c>
      <c r="BG36" s="140">
        <v>15</v>
      </c>
      <c r="BH36" s="140">
        <v>13</v>
      </c>
      <c r="BI36" s="140">
        <v>10</v>
      </c>
      <c r="BJ36" s="140">
        <v>15</v>
      </c>
      <c r="BK36" s="140">
        <v>12</v>
      </c>
      <c r="BL36" s="140">
        <v>14</v>
      </c>
      <c r="BM36" s="140">
        <v>3</v>
      </c>
      <c r="BN36" s="140">
        <v>23</v>
      </c>
      <c r="BO36" s="140">
        <v>14</v>
      </c>
      <c r="BP36" s="140">
        <v>12</v>
      </c>
      <c r="BQ36" s="140">
        <v>14</v>
      </c>
      <c r="BR36" s="140">
        <v>16</v>
      </c>
      <c r="BS36" s="140">
        <v>22</v>
      </c>
      <c r="BT36" s="140">
        <v>15</v>
      </c>
      <c r="BU36" s="140">
        <v>17</v>
      </c>
      <c r="BV36" s="140">
        <v>16</v>
      </c>
      <c r="BW36" s="140">
        <v>10</v>
      </c>
      <c r="BX36" s="140">
        <v>18</v>
      </c>
      <c r="BY36" s="140">
        <v>12</v>
      </c>
      <c r="BZ36" s="140">
        <v>24</v>
      </c>
      <c r="CA36" s="140"/>
      <c r="CB36" s="140"/>
      <c r="CC36" s="140"/>
      <c r="CD36" s="140"/>
      <c r="CE36" s="140"/>
      <c r="CF36" s="140"/>
      <c r="CG36" s="140"/>
      <c r="CH36" s="140"/>
      <c r="CI36" s="140"/>
      <c r="CJ36" s="140"/>
      <c r="CK36" s="140"/>
      <c r="CL36" s="140"/>
      <c r="CM36" s="140"/>
      <c r="CN36" s="140"/>
      <c r="CO36" s="140"/>
      <c r="CP36" s="140"/>
      <c r="CQ36" s="140"/>
      <c r="CR36" s="140"/>
      <c r="CS36" s="140"/>
      <c r="CT36" s="140"/>
      <c r="CU36" s="140"/>
      <c r="CV36" s="140"/>
      <c r="CW36" s="140"/>
      <c r="CX36" s="140"/>
      <c r="CY36" s="140"/>
      <c r="CZ36" s="140"/>
      <c r="DA36" s="140"/>
      <c r="DB36" s="140"/>
      <c r="DC36" s="140"/>
      <c r="DD36" s="140"/>
      <c r="DE36" s="140"/>
      <c r="DF36" s="140"/>
      <c r="DG36" s="140"/>
      <c r="DH36" s="140"/>
      <c r="DI36" s="140"/>
      <c r="DJ36" s="140"/>
      <c r="DK36" s="140"/>
      <c r="DL36" s="140"/>
      <c r="DM36" s="140"/>
      <c r="DN36" s="140"/>
      <c r="DO36" s="140"/>
      <c r="DP36" s="140"/>
      <c r="DQ36" s="140"/>
      <c r="DR36" s="140"/>
      <c r="DS36" s="140"/>
      <c r="DT36" s="140"/>
      <c r="DU36" s="140"/>
      <c r="DV36" s="140"/>
      <c r="DW36" s="140"/>
      <c r="DX36" s="140"/>
      <c r="DY36" s="140"/>
      <c r="DZ36" s="140"/>
      <c r="EA36" s="140"/>
      <c r="EB36" s="140"/>
      <c r="EC36" s="140"/>
      <c r="ED36" s="140"/>
      <c r="EE36" s="140"/>
      <c r="EF36" s="140"/>
      <c r="EG36" s="140"/>
      <c r="EH36" s="140"/>
      <c r="EI36" s="140"/>
      <c r="EJ36" s="140"/>
      <c r="EK36" s="140"/>
      <c r="EL36" s="140"/>
      <c r="EM36" s="140"/>
      <c r="EN36" s="140"/>
      <c r="EO36" s="140"/>
      <c r="EP36" s="140"/>
      <c r="EQ36" s="140"/>
      <c r="ER36" s="140"/>
      <c r="ES36" s="140"/>
      <c r="ET36" s="140"/>
      <c r="EU36" s="140"/>
    </row>
    <row r="37" ht="15.75" customHeight="1" spans="1:151">
      <c r="A37" s="110" t="s">
        <v>90</v>
      </c>
      <c r="B37" s="116"/>
      <c r="C37" s="116"/>
      <c r="D37" s="116">
        <v>7</v>
      </c>
      <c r="E37" s="116">
        <v>1</v>
      </c>
      <c r="F37" s="116">
        <v>1</v>
      </c>
      <c r="G37" s="116">
        <v>2</v>
      </c>
      <c r="H37" s="116">
        <v>9</v>
      </c>
      <c r="I37" s="116">
        <v>3</v>
      </c>
      <c r="J37" s="116">
        <v>11</v>
      </c>
      <c r="K37" s="132">
        <v>7</v>
      </c>
      <c r="L37" s="116">
        <v>11</v>
      </c>
      <c r="M37" s="116">
        <v>1</v>
      </c>
      <c r="N37" s="116">
        <v>4</v>
      </c>
      <c r="O37" s="116">
        <v>2</v>
      </c>
      <c r="P37" s="116">
        <v>3</v>
      </c>
      <c r="Q37" s="116">
        <v>2</v>
      </c>
      <c r="R37" s="116"/>
      <c r="S37" s="116"/>
      <c r="T37" s="116">
        <v>1</v>
      </c>
      <c r="U37" s="116">
        <v>4</v>
      </c>
      <c r="V37" s="116">
        <v>7</v>
      </c>
      <c r="W37" s="116"/>
      <c r="X37" s="116">
        <v>7</v>
      </c>
      <c r="Y37" s="116">
        <v>15</v>
      </c>
      <c r="Z37" s="116">
        <v>13</v>
      </c>
      <c r="AA37" s="138">
        <v>12</v>
      </c>
      <c r="AB37" s="138">
        <v>4</v>
      </c>
      <c r="AC37" s="138">
        <v>3</v>
      </c>
      <c r="AD37" s="138">
        <v>10</v>
      </c>
      <c r="AE37" s="138"/>
      <c r="AF37" s="138">
        <v>1</v>
      </c>
      <c r="AG37" s="138"/>
      <c r="AH37" s="138">
        <v>2</v>
      </c>
      <c r="AI37" s="138"/>
      <c r="AJ37" s="138">
        <v>2</v>
      </c>
      <c r="AK37" s="138">
        <v>11</v>
      </c>
      <c r="AL37" s="140"/>
      <c r="AM37" s="140"/>
      <c r="AN37" s="140">
        <v>2</v>
      </c>
      <c r="AO37" s="140"/>
      <c r="AP37" s="140">
        <v>7</v>
      </c>
      <c r="AQ37" s="140">
        <v>2</v>
      </c>
      <c r="AR37" s="140">
        <v>8</v>
      </c>
      <c r="AS37" s="140">
        <v>16</v>
      </c>
      <c r="AT37" s="140">
        <v>11</v>
      </c>
      <c r="AU37" s="140">
        <v>9</v>
      </c>
      <c r="AV37" s="140">
        <v>6</v>
      </c>
      <c r="AW37" s="142"/>
      <c r="AX37" s="140"/>
      <c r="AY37" s="140">
        <v>9</v>
      </c>
      <c r="AZ37" s="140">
        <v>2</v>
      </c>
      <c r="BA37" s="140">
        <v>12</v>
      </c>
      <c r="BB37" s="140">
        <v>9</v>
      </c>
      <c r="BC37" s="140">
        <v>11</v>
      </c>
      <c r="BD37" s="140">
        <v>6</v>
      </c>
      <c r="BE37" s="140">
        <v>15</v>
      </c>
      <c r="BF37" s="140">
        <v>19</v>
      </c>
      <c r="BG37" s="140">
        <v>6</v>
      </c>
      <c r="BH37" s="140">
        <v>13</v>
      </c>
      <c r="BI37" s="140">
        <v>11</v>
      </c>
      <c r="BJ37" s="140">
        <v>35</v>
      </c>
      <c r="BK37" s="140">
        <v>13</v>
      </c>
      <c r="BL37" s="140">
        <v>29</v>
      </c>
      <c r="BM37" s="140">
        <v>7</v>
      </c>
      <c r="BN37" s="140">
        <v>3</v>
      </c>
      <c r="BO37" s="140">
        <v>13</v>
      </c>
      <c r="BP37" s="140">
        <v>11</v>
      </c>
      <c r="BQ37" s="140">
        <v>10</v>
      </c>
      <c r="BR37" s="140">
        <v>9</v>
      </c>
      <c r="BS37" s="140">
        <v>12</v>
      </c>
      <c r="BT37" s="140">
        <v>7</v>
      </c>
      <c r="BU37" s="140">
        <v>8</v>
      </c>
      <c r="BV37" s="140">
        <v>18</v>
      </c>
      <c r="BW37" s="140">
        <v>4</v>
      </c>
      <c r="BX37" s="140">
        <v>9</v>
      </c>
      <c r="BY37" s="140">
        <v>6</v>
      </c>
      <c r="BZ37" s="140">
        <v>4</v>
      </c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  <c r="DJ37" s="140"/>
      <c r="DK37" s="140"/>
      <c r="DL37" s="140"/>
      <c r="DM37" s="140"/>
      <c r="DN37" s="140"/>
      <c r="DO37" s="140"/>
      <c r="DP37" s="140"/>
      <c r="DQ37" s="140"/>
      <c r="DR37" s="140"/>
      <c r="DS37" s="140"/>
      <c r="DT37" s="140"/>
      <c r="DU37" s="140"/>
      <c r="DV37" s="140"/>
      <c r="DW37" s="140"/>
      <c r="DX37" s="140"/>
      <c r="DY37" s="140"/>
      <c r="DZ37" s="140"/>
      <c r="EA37" s="140"/>
      <c r="EB37" s="140"/>
      <c r="EC37" s="140"/>
      <c r="ED37" s="140"/>
      <c r="EE37" s="140"/>
      <c r="EF37" s="140"/>
      <c r="EG37" s="140"/>
      <c r="EH37" s="140"/>
      <c r="EI37" s="140"/>
      <c r="EJ37" s="140"/>
      <c r="EK37" s="140"/>
      <c r="EL37" s="140"/>
      <c r="EM37" s="140"/>
      <c r="EN37" s="140"/>
      <c r="EO37" s="140"/>
      <c r="EP37" s="140"/>
      <c r="EQ37" s="140"/>
      <c r="ER37" s="140"/>
      <c r="ES37" s="140"/>
      <c r="ET37" s="140"/>
      <c r="EU37" s="140"/>
    </row>
    <row r="38" ht="15.75" customHeight="1" spans="1:151">
      <c r="A38" s="110" t="s">
        <v>140</v>
      </c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31"/>
      <c r="S38" s="117"/>
      <c r="T38" s="131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0"/>
      <c r="BM38" s="140"/>
      <c r="BN38" s="140"/>
      <c r="BO38" s="140"/>
      <c r="BP38" s="140"/>
      <c r="BQ38" s="140"/>
      <c r="BR38" s="140"/>
      <c r="BS38" s="140"/>
      <c r="BT38" s="140"/>
      <c r="BU38" s="140"/>
      <c r="BV38" s="140"/>
      <c r="BW38" s="140"/>
      <c r="BX38" s="140"/>
      <c r="BY38" s="140"/>
      <c r="BZ38" s="140"/>
      <c r="CA38" s="140"/>
      <c r="CB38" s="140"/>
      <c r="CC38" s="140"/>
      <c r="CD38" s="140"/>
      <c r="CE38" s="140"/>
      <c r="CF38" s="140"/>
      <c r="CG38" s="140"/>
      <c r="CH38" s="140"/>
      <c r="CI38" s="140"/>
      <c r="CJ38" s="140"/>
      <c r="CK38" s="140"/>
      <c r="CL38" s="140"/>
      <c r="CM38" s="140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0"/>
      <c r="CZ38" s="140"/>
      <c r="DA38" s="140"/>
      <c r="DB38" s="140"/>
      <c r="DC38" s="140"/>
      <c r="DD38" s="140"/>
      <c r="DE38" s="140"/>
      <c r="DF38" s="140"/>
      <c r="DG38" s="140"/>
      <c r="DH38" s="140"/>
      <c r="DI38" s="140"/>
      <c r="DJ38" s="140"/>
      <c r="DK38" s="140"/>
      <c r="DL38" s="140"/>
      <c r="DM38" s="140"/>
      <c r="DN38" s="140"/>
      <c r="DO38" s="140"/>
      <c r="DP38" s="140"/>
      <c r="DQ38" s="140"/>
      <c r="DR38" s="140"/>
      <c r="DS38" s="140"/>
      <c r="DT38" s="140"/>
      <c r="DU38" s="140"/>
      <c r="DV38" s="140"/>
      <c r="DW38" s="140"/>
      <c r="DX38" s="140"/>
      <c r="DY38" s="140"/>
      <c r="DZ38" s="140"/>
      <c r="EA38" s="140"/>
      <c r="EB38" s="140"/>
      <c r="EC38" s="140"/>
      <c r="ED38" s="140"/>
      <c r="EE38" s="140"/>
      <c r="EF38" s="140"/>
      <c r="EG38" s="140"/>
      <c r="EH38" s="140"/>
      <c r="EI38" s="140"/>
      <c r="EJ38" s="140"/>
      <c r="EK38" s="140"/>
      <c r="EL38" s="140"/>
      <c r="EM38" s="140"/>
      <c r="EN38" s="140"/>
      <c r="EO38" s="140"/>
      <c r="EP38" s="140"/>
      <c r="EQ38" s="140"/>
      <c r="ER38" s="140"/>
      <c r="ES38" s="140"/>
      <c r="ET38" s="140"/>
      <c r="EU38" s="140"/>
    </row>
    <row r="39" ht="15.75" customHeight="1" spans="1:151">
      <c r="A39" s="110" t="s">
        <v>141</v>
      </c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31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0"/>
      <c r="CB39" s="140"/>
      <c r="CC39" s="140"/>
      <c r="CD39" s="140"/>
      <c r="CE39" s="140"/>
      <c r="CF39" s="140"/>
      <c r="CG39" s="140"/>
      <c r="CH39" s="140"/>
      <c r="CI39" s="140"/>
      <c r="CJ39" s="140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0"/>
      <c r="DF39" s="140"/>
      <c r="DG39" s="140"/>
      <c r="DH39" s="140"/>
      <c r="DI39" s="140"/>
      <c r="DJ39" s="140"/>
      <c r="DK39" s="140"/>
      <c r="DL39" s="140"/>
      <c r="DM39" s="140"/>
      <c r="DN39" s="140"/>
      <c r="DO39" s="140"/>
      <c r="DP39" s="140"/>
      <c r="DQ39" s="140"/>
      <c r="DR39" s="140"/>
      <c r="DS39" s="140"/>
      <c r="DT39" s="140"/>
      <c r="DU39" s="140"/>
      <c r="DV39" s="140"/>
      <c r="DW39" s="140"/>
      <c r="DX39" s="140"/>
      <c r="DY39" s="140"/>
      <c r="DZ39" s="140"/>
      <c r="EA39" s="140"/>
      <c r="EB39" s="140"/>
      <c r="EC39" s="140"/>
      <c r="ED39" s="140"/>
      <c r="EE39" s="140"/>
      <c r="EF39" s="140"/>
      <c r="EG39" s="140"/>
      <c r="EH39" s="140"/>
      <c r="EI39" s="140"/>
      <c r="EJ39" s="140"/>
      <c r="EK39" s="140"/>
      <c r="EL39" s="140"/>
      <c r="EM39" s="140"/>
      <c r="EN39" s="140"/>
      <c r="EO39" s="140"/>
      <c r="EP39" s="140"/>
      <c r="EQ39" s="140"/>
      <c r="ER39" s="140"/>
      <c r="ES39" s="140"/>
      <c r="ET39" s="140"/>
      <c r="EU39" s="140"/>
    </row>
    <row r="40" ht="15.75" customHeight="1" spans="1:151">
      <c r="A40" s="110" t="s">
        <v>142</v>
      </c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0"/>
      <c r="DJ40" s="140"/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140"/>
      <c r="DY40" s="140"/>
      <c r="DZ40" s="140"/>
      <c r="EA40" s="140"/>
      <c r="EB40" s="140"/>
      <c r="EC40" s="140"/>
      <c r="ED40" s="140"/>
      <c r="EE40" s="140"/>
      <c r="EF40" s="140"/>
      <c r="EG40" s="140"/>
      <c r="EH40" s="140"/>
      <c r="EI40" s="140"/>
      <c r="EJ40" s="140"/>
      <c r="EK40" s="140"/>
      <c r="EL40" s="140"/>
      <c r="EM40" s="140"/>
      <c r="EN40" s="140"/>
      <c r="EO40" s="140"/>
      <c r="EP40" s="140"/>
      <c r="EQ40" s="140"/>
      <c r="ER40" s="140"/>
      <c r="ES40" s="140"/>
      <c r="ET40" s="140"/>
      <c r="EU40" s="140"/>
    </row>
    <row r="41" ht="15.75" customHeight="1" spans="1:151">
      <c r="A41" s="110" t="s">
        <v>143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>
        <v>1</v>
      </c>
      <c r="R41" s="116">
        <v>1</v>
      </c>
      <c r="S41" s="116">
        <v>3</v>
      </c>
      <c r="T41" s="116"/>
      <c r="U41" s="116"/>
      <c r="V41" s="116"/>
      <c r="W41" s="116"/>
      <c r="X41" s="116"/>
      <c r="Y41" s="116"/>
      <c r="Z41" s="116"/>
      <c r="AA41" s="138"/>
      <c r="AB41" s="138">
        <v>2</v>
      </c>
      <c r="AC41" s="138">
        <v>4</v>
      </c>
      <c r="AD41" s="138">
        <v>10</v>
      </c>
      <c r="AE41" s="138"/>
      <c r="AF41" s="138">
        <v>2</v>
      </c>
      <c r="AG41" s="138"/>
      <c r="AH41" s="138">
        <v>7</v>
      </c>
      <c r="AI41" s="138">
        <v>3</v>
      </c>
      <c r="AJ41" s="138">
        <v>1</v>
      </c>
      <c r="AK41" s="138">
        <v>5</v>
      </c>
      <c r="AL41" s="140">
        <v>1</v>
      </c>
      <c r="AM41" s="140"/>
      <c r="AN41" s="140"/>
      <c r="AO41" s="140"/>
      <c r="AP41" s="140">
        <v>2</v>
      </c>
      <c r="AQ41" s="140"/>
      <c r="AR41" s="140"/>
      <c r="AS41" s="140">
        <v>4</v>
      </c>
      <c r="AT41" s="140">
        <v>9</v>
      </c>
      <c r="AU41" s="140">
        <v>7</v>
      </c>
      <c r="AV41" s="140">
        <v>1</v>
      </c>
      <c r="AW41" s="140">
        <v>5</v>
      </c>
      <c r="AX41" s="140">
        <v>5</v>
      </c>
      <c r="AY41" s="140">
        <v>4</v>
      </c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  <c r="CC41" s="140"/>
      <c r="CD41" s="140"/>
      <c r="CE41" s="140"/>
      <c r="CF41" s="140"/>
      <c r="CG41" s="140"/>
      <c r="CH41" s="140"/>
      <c r="CI41" s="140"/>
      <c r="CJ41" s="140"/>
      <c r="CK41" s="140"/>
      <c r="CL41" s="140"/>
      <c r="CM41" s="140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0"/>
      <c r="CZ41" s="140"/>
      <c r="DA41" s="140"/>
      <c r="DB41" s="140"/>
      <c r="DC41" s="140"/>
      <c r="DD41" s="140"/>
      <c r="DE41" s="140"/>
      <c r="DF41" s="140"/>
      <c r="DG41" s="140"/>
      <c r="DH41" s="140"/>
      <c r="DI41" s="140"/>
      <c r="DJ41" s="140"/>
      <c r="DK41" s="140"/>
      <c r="DL41" s="140"/>
      <c r="DM41" s="140"/>
      <c r="DN41" s="140"/>
      <c r="DO41" s="140"/>
      <c r="DP41" s="140"/>
      <c r="DQ41" s="140"/>
      <c r="DR41" s="140"/>
      <c r="DS41" s="140"/>
      <c r="DT41" s="140"/>
      <c r="DU41" s="140"/>
      <c r="DV41" s="140"/>
      <c r="DW41" s="140"/>
      <c r="DX41" s="140"/>
      <c r="DY41" s="140"/>
      <c r="DZ41" s="140"/>
      <c r="EA41" s="140"/>
      <c r="EB41" s="140"/>
      <c r="EC41" s="140"/>
      <c r="ED41" s="140"/>
      <c r="EE41" s="140"/>
      <c r="EF41" s="140"/>
      <c r="EG41" s="140"/>
      <c r="EH41" s="140"/>
      <c r="EI41" s="140"/>
      <c r="EJ41" s="140"/>
      <c r="EK41" s="140"/>
      <c r="EL41" s="140"/>
      <c r="EM41" s="140"/>
      <c r="EN41" s="140"/>
      <c r="EO41" s="140"/>
      <c r="EP41" s="140"/>
      <c r="EQ41" s="140"/>
      <c r="ER41" s="140"/>
      <c r="ES41" s="140"/>
      <c r="ET41" s="140"/>
      <c r="EU41" s="140"/>
    </row>
    <row r="42" ht="15.75" customHeight="1" spans="1:151">
      <c r="A42" s="110" t="s">
        <v>109</v>
      </c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>
        <v>1</v>
      </c>
      <c r="S42" s="116">
        <v>4</v>
      </c>
      <c r="T42" s="116">
        <v>1</v>
      </c>
      <c r="U42" s="116">
        <v>4</v>
      </c>
      <c r="V42" s="116">
        <v>3</v>
      </c>
      <c r="W42" s="116"/>
      <c r="X42" s="116"/>
      <c r="Y42" s="116"/>
      <c r="Z42" s="116"/>
      <c r="AA42" s="138"/>
      <c r="AB42" s="138"/>
      <c r="AC42" s="138"/>
      <c r="AD42" s="138"/>
      <c r="AE42" s="138">
        <v>14</v>
      </c>
      <c r="AF42" s="138">
        <v>5</v>
      </c>
      <c r="AG42" s="138"/>
      <c r="AH42" s="138"/>
      <c r="AI42" s="138"/>
      <c r="AJ42" s="138">
        <v>2</v>
      </c>
      <c r="AK42" s="138"/>
      <c r="AL42" s="140">
        <v>3</v>
      </c>
      <c r="AM42" s="140">
        <v>2</v>
      </c>
      <c r="AN42" s="140">
        <v>6</v>
      </c>
      <c r="AO42" s="140">
        <v>6</v>
      </c>
      <c r="AP42" s="140">
        <v>1</v>
      </c>
      <c r="AQ42" s="140">
        <v>3</v>
      </c>
      <c r="AR42" s="140">
        <v>9</v>
      </c>
      <c r="AS42" s="140">
        <v>2</v>
      </c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>
        <v>5</v>
      </c>
      <c r="BH42" s="140"/>
      <c r="BI42" s="140"/>
      <c r="BJ42" s="140"/>
      <c r="BK42" s="140"/>
      <c r="BL42" s="140"/>
      <c r="BM42" s="140"/>
      <c r="BN42" s="140"/>
      <c r="BO42" s="140"/>
      <c r="BP42" s="140"/>
      <c r="BQ42" s="140"/>
      <c r="BS42" s="140"/>
      <c r="BT42" s="140"/>
      <c r="BU42" s="140"/>
      <c r="BV42" s="140"/>
      <c r="BW42" s="140"/>
      <c r="BX42" s="140"/>
      <c r="BY42" s="140"/>
      <c r="BZ42" s="140"/>
      <c r="CA42" s="140"/>
      <c r="CB42" s="140"/>
      <c r="CC42" s="140"/>
      <c r="CD42" s="140"/>
      <c r="CE42" s="140"/>
      <c r="CF42" s="140"/>
      <c r="CG42" s="140"/>
      <c r="CH42" s="140"/>
      <c r="CI42" s="140"/>
      <c r="CJ42" s="140"/>
      <c r="CK42" s="140"/>
      <c r="CL42" s="140"/>
      <c r="CM42" s="140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0"/>
      <c r="CZ42" s="140"/>
      <c r="DA42" s="140"/>
      <c r="DB42" s="140"/>
      <c r="DC42" s="140"/>
      <c r="DD42" s="140"/>
      <c r="DE42" s="140"/>
      <c r="DF42" s="140"/>
      <c r="DG42" s="140"/>
      <c r="DH42" s="140"/>
      <c r="DI42" s="140"/>
      <c r="DJ42" s="140"/>
      <c r="DK42" s="140"/>
      <c r="DL42" s="140"/>
      <c r="DM42" s="140"/>
      <c r="DN42" s="140"/>
      <c r="DO42" s="140"/>
      <c r="DP42" s="140"/>
      <c r="DQ42" s="140"/>
      <c r="DR42" s="140"/>
      <c r="DS42" s="140"/>
      <c r="DT42" s="140"/>
      <c r="DU42" s="140"/>
      <c r="DV42" s="140"/>
      <c r="DW42" s="140"/>
      <c r="DX42" s="140"/>
      <c r="DY42" s="140"/>
      <c r="DZ42" s="140"/>
      <c r="EA42" s="140"/>
      <c r="EB42" s="140"/>
      <c r="EC42" s="140"/>
      <c r="ED42" s="140"/>
      <c r="EE42" s="140"/>
      <c r="EF42" s="140"/>
      <c r="EG42" s="140"/>
      <c r="EH42" s="140"/>
      <c r="EI42" s="140"/>
      <c r="EJ42" s="140"/>
      <c r="EK42" s="140"/>
      <c r="EL42" s="140"/>
      <c r="EM42" s="140"/>
      <c r="EN42" s="140"/>
      <c r="EO42" s="140"/>
      <c r="EP42" s="140"/>
      <c r="EQ42" s="140"/>
      <c r="ER42" s="140"/>
      <c r="ES42" s="140"/>
      <c r="ET42" s="140"/>
      <c r="EU42" s="140"/>
    </row>
    <row r="43" ht="15.75" customHeight="1" spans="1:151">
      <c r="A43" s="110" t="s">
        <v>144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40"/>
      <c r="AM43" s="140"/>
      <c r="AN43" s="140"/>
      <c r="AO43" s="140"/>
      <c r="AP43" s="140"/>
      <c r="AQ43" s="140"/>
      <c r="AR43" s="140"/>
      <c r="AS43" s="140">
        <v>1</v>
      </c>
      <c r="AT43" s="140"/>
      <c r="AU43" s="140"/>
      <c r="AV43" s="140"/>
      <c r="AW43" s="140"/>
      <c r="AX43" s="140"/>
      <c r="AY43" s="140"/>
      <c r="AZ43" s="140"/>
      <c r="BA43" s="140"/>
      <c r="BB43" s="140"/>
      <c r="BC43" s="140">
        <v>1</v>
      </c>
      <c r="BD43" s="140">
        <v>2</v>
      </c>
      <c r="BE43" s="140"/>
      <c r="BF43" s="140">
        <v>1</v>
      </c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>
        <v>3</v>
      </c>
      <c r="BS43" s="140"/>
      <c r="BT43" s="140"/>
      <c r="BU43" s="140">
        <v>1</v>
      </c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  <c r="DJ43" s="140"/>
      <c r="DK43" s="140"/>
      <c r="DL43" s="140"/>
      <c r="DM43" s="140"/>
      <c r="DN43" s="140"/>
      <c r="DO43" s="140"/>
      <c r="DP43" s="140"/>
      <c r="DQ43" s="140"/>
      <c r="DR43" s="140"/>
      <c r="DS43" s="140"/>
      <c r="DT43" s="140"/>
      <c r="DU43" s="140"/>
      <c r="DV43" s="140"/>
      <c r="DW43" s="140"/>
      <c r="DX43" s="140"/>
      <c r="DY43" s="140"/>
      <c r="DZ43" s="140"/>
      <c r="EA43" s="140"/>
      <c r="EB43" s="140"/>
      <c r="EC43" s="140"/>
      <c r="ED43" s="140"/>
      <c r="EE43" s="140"/>
      <c r="EF43" s="140"/>
      <c r="EG43" s="140"/>
      <c r="EH43" s="140"/>
      <c r="EI43" s="140"/>
      <c r="EJ43" s="140"/>
      <c r="EK43" s="140"/>
      <c r="EL43" s="140"/>
      <c r="EM43" s="140"/>
      <c r="EN43" s="140"/>
      <c r="EO43" s="140"/>
      <c r="EP43" s="140"/>
      <c r="EQ43" s="140"/>
      <c r="ER43" s="140"/>
      <c r="ES43" s="140"/>
      <c r="ET43" s="140"/>
      <c r="EU43" s="140"/>
    </row>
    <row r="44" ht="15.75" customHeight="1" spans="1:151">
      <c r="A44" s="110" t="s">
        <v>145</v>
      </c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40"/>
      <c r="AM44" s="140"/>
      <c r="AN44" s="140"/>
      <c r="AO44" s="140"/>
      <c r="AP44" s="140"/>
      <c r="AQ44" s="140"/>
      <c r="AR44" s="140"/>
      <c r="AS44" s="140">
        <v>1</v>
      </c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>
        <v>3</v>
      </c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/>
      <c r="DG44" s="140"/>
      <c r="DH44" s="140"/>
      <c r="DI44" s="140"/>
      <c r="DJ44" s="140"/>
      <c r="DK44" s="140"/>
      <c r="DL44" s="140"/>
      <c r="DM44" s="140"/>
      <c r="DN44" s="140"/>
      <c r="DO44" s="140"/>
      <c r="DP44" s="140"/>
      <c r="DQ44" s="140"/>
      <c r="DR44" s="140"/>
      <c r="DS44" s="140"/>
      <c r="DT44" s="140"/>
      <c r="DU44" s="140"/>
      <c r="DV44" s="140"/>
      <c r="DW44" s="140"/>
      <c r="DX44" s="140"/>
      <c r="DY44" s="140"/>
      <c r="DZ44" s="140"/>
      <c r="EA44" s="140"/>
      <c r="EB44" s="140"/>
      <c r="EC44" s="140"/>
      <c r="ED44" s="140"/>
      <c r="EE44" s="140"/>
      <c r="EF44" s="140"/>
      <c r="EG44" s="140"/>
      <c r="EH44" s="140"/>
      <c r="EI44" s="140"/>
      <c r="EJ44" s="140"/>
      <c r="EK44" s="140"/>
      <c r="EL44" s="140"/>
      <c r="EM44" s="140"/>
      <c r="EN44" s="140"/>
      <c r="EO44" s="140"/>
      <c r="EP44" s="140"/>
      <c r="EQ44" s="140"/>
      <c r="ER44" s="140"/>
      <c r="ES44" s="140"/>
      <c r="ET44" s="140"/>
      <c r="EU44" s="140"/>
    </row>
    <row r="45" ht="15.75" customHeight="1" spans="1:153">
      <c r="A45" s="113" t="s">
        <v>146</v>
      </c>
      <c r="B45" s="114">
        <f t="shared" ref="B45:BM45" si="3">SUM(B25:B44)</f>
        <v>0</v>
      </c>
      <c r="C45" s="114">
        <f t="shared" si="3"/>
        <v>2</v>
      </c>
      <c r="D45" s="114">
        <f t="shared" si="3"/>
        <v>18</v>
      </c>
      <c r="E45" s="114">
        <f t="shared" si="3"/>
        <v>12</v>
      </c>
      <c r="F45" s="114">
        <f t="shared" si="3"/>
        <v>9</v>
      </c>
      <c r="G45" s="114">
        <f t="shared" si="3"/>
        <v>5</v>
      </c>
      <c r="H45" s="114">
        <f t="shared" si="3"/>
        <v>16</v>
      </c>
      <c r="I45" s="114">
        <f t="shared" si="3"/>
        <v>6</v>
      </c>
      <c r="J45" s="114">
        <f t="shared" si="3"/>
        <v>18</v>
      </c>
      <c r="K45" s="114">
        <f t="shared" si="3"/>
        <v>28</v>
      </c>
      <c r="L45" s="114">
        <f t="shared" si="3"/>
        <v>27</v>
      </c>
      <c r="M45" s="114">
        <f t="shared" si="3"/>
        <v>22</v>
      </c>
      <c r="N45" s="114">
        <f t="shared" si="3"/>
        <v>18</v>
      </c>
      <c r="O45" s="114">
        <f t="shared" si="3"/>
        <v>18</v>
      </c>
      <c r="P45" s="114">
        <f t="shared" si="3"/>
        <v>12</v>
      </c>
      <c r="Q45" s="114">
        <f t="shared" si="3"/>
        <v>13</v>
      </c>
      <c r="R45" s="114">
        <f t="shared" si="3"/>
        <v>24</v>
      </c>
      <c r="S45" s="114">
        <f t="shared" si="3"/>
        <v>27</v>
      </c>
      <c r="T45" s="114">
        <f t="shared" si="3"/>
        <v>40</v>
      </c>
      <c r="U45" s="114">
        <f t="shared" si="3"/>
        <v>41</v>
      </c>
      <c r="V45" s="114">
        <f t="shared" si="3"/>
        <v>36</v>
      </c>
      <c r="W45" s="114">
        <f t="shared" si="3"/>
        <v>51</v>
      </c>
      <c r="X45" s="114">
        <f t="shared" si="3"/>
        <v>31</v>
      </c>
      <c r="Y45" s="114">
        <f t="shared" si="3"/>
        <v>53</v>
      </c>
      <c r="Z45" s="114">
        <f t="shared" si="3"/>
        <v>52</v>
      </c>
      <c r="AA45" s="114">
        <f t="shared" si="3"/>
        <v>47</v>
      </c>
      <c r="AB45" s="114">
        <f t="shared" si="3"/>
        <v>35</v>
      </c>
      <c r="AC45" s="114">
        <f t="shared" si="3"/>
        <v>49</v>
      </c>
      <c r="AD45" s="114">
        <f t="shared" si="3"/>
        <v>60</v>
      </c>
      <c r="AE45" s="114">
        <f t="shared" si="3"/>
        <v>46</v>
      </c>
      <c r="AF45" s="114">
        <f t="shared" si="3"/>
        <v>26</v>
      </c>
      <c r="AG45" s="114">
        <f t="shared" si="3"/>
        <v>35</v>
      </c>
      <c r="AH45" s="114">
        <f t="shared" si="3"/>
        <v>31</v>
      </c>
      <c r="AI45" s="114">
        <f t="shared" si="3"/>
        <v>18</v>
      </c>
      <c r="AJ45" s="114">
        <f t="shared" si="3"/>
        <v>24</v>
      </c>
      <c r="AK45" s="114">
        <f t="shared" si="3"/>
        <v>40</v>
      </c>
      <c r="AL45" s="114">
        <f t="shared" si="3"/>
        <v>28</v>
      </c>
      <c r="AM45" s="114">
        <f t="shared" si="3"/>
        <v>47</v>
      </c>
      <c r="AN45" s="114">
        <f t="shared" si="3"/>
        <v>53</v>
      </c>
      <c r="AO45" s="114">
        <f t="shared" si="3"/>
        <v>74</v>
      </c>
      <c r="AP45" s="114">
        <f t="shared" si="3"/>
        <v>70</v>
      </c>
      <c r="AQ45" s="114">
        <f t="shared" si="3"/>
        <v>62</v>
      </c>
      <c r="AR45" s="114">
        <f t="shared" si="3"/>
        <v>54</v>
      </c>
      <c r="AS45" s="114">
        <f t="shared" si="3"/>
        <v>44</v>
      </c>
      <c r="AT45" s="114">
        <f t="shared" si="3"/>
        <v>52</v>
      </c>
      <c r="AU45" s="114">
        <f t="shared" si="3"/>
        <v>39</v>
      </c>
      <c r="AV45" s="114">
        <f t="shared" si="3"/>
        <v>13</v>
      </c>
      <c r="AW45" s="114">
        <f t="shared" si="3"/>
        <v>15</v>
      </c>
      <c r="AX45" s="114">
        <f t="shared" si="3"/>
        <v>50</v>
      </c>
      <c r="AY45" s="114">
        <f t="shared" si="3"/>
        <v>65</v>
      </c>
      <c r="AZ45" s="114">
        <f t="shared" si="3"/>
        <v>59</v>
      </c>
      <c r="BA45" s="114">
        <f t="shared" si="3"/>
        <v>69</v>
      </c>
      <c r="BB45" s="114">
        <f t="shared" si="3"/>
        <v>101</v>
      </c>
      <c r="BC45" s="114">
        <f t="shared" si="3"/>
        <v>110</v>
      </c>
      <c r="BD45" s="114">
        <f t="shared" si="3"/>
        <v>62</v>
      </c>
      <c r="BE45" s="114">
        <f t="shared" si="3"/>
        <v>108</v>
      </c>
      <c r="BF45" s="114">
        <f t="shared" si="3"/>
        <v>78</v>
      </c>
      <c r="BG45" s="114">
        <f t="shared" si="3"/>
        <v>99</v>
      </c>
      <c r="BH45" s="114">
        <f t="shared" si="3"/>
        <v>85</v>
      </c>
      <c r="BI45" s="114">
        <f t="shared" si="3"/>
        <v>101</v>
      </c>
      <c r="BJ45" s="114">
        <f t="shared" si="3"/>
        <v>111</v>
      </c>
      <c r="BK45" s="114">
        <f t="shared" si="3"/>
        <v>86</v>
      </c>
      <c r="BL45" s="114">
        <f t="shared" si="3"/>
        <v>77</v>
      </c>
      <c r="BM45" s="114">
        <f t="shared" si="3"/>
        <v>48</v>
      </c>
      <c r="BN45" s="114">
        <f t="shared" ref="BN45:DY45" si="4">SUM(BN25:BN44)</f>
        <v>96</v>
      </c>
      <c r="BO45" s="114">
        <f t="shared" si="4"/>
        <v>57</v>
      </c>
      <c r="BP45" s="114">
        <f t="shared" si="4"/>
        <v>53</v>
      </c>
      <c r="BQ45" s="114">
        <f t="shared" si="4"/>
        <v>73</v>
      </c>
      <c r="BR45" s="114">
        <f t="shared" si="4"/>
        <v>88</v>
      </c>
      <c r="BS45" s="114">
        <f t="shared" si="4"/>
        <v>115</v>
      </c>
      <c r="BT45" s="114">
        <f t="shared" si="4"/>
        <v>93</v>
      </c>
      <c r="BU45" s="114">
        <f t="shared" si="4"/>
        <v>94</v>
      </c>
      <c r="BV45" s="114">
        <f t="shared" si="4"/>
        <v>106</v>
      </c>
      <c r="BW45" s="114">
        <f t="shared" si="4"/>
        <v>69</v>
      </c>
      <c r="BX45" s="114">
        <f t="shared" si="4"/>
        <v>79</v>
      </c>
      <c r="BY45" s="114">
        <f t="shared" si="4"/>
        <v>59</v>
      </c>
      <c r="BZ45" s="114">
        <f t="shared" si="4"/>
        <v>79</v>
      </c>
      <c r="CA45" s="114">
        <f t="shared" si="4"/>
        <v>0</v>
      </c>
      <c r="CB45" s="114">
        <f t="shared" si="4"/>
        <v>0</v>
      </c>
      <c r="CC45" s="114">
        <f t="shared" si="4"/>
        <v>0</v>
      </c>
      <c r="CD45" s="114">
        <f t="shared" si="4"/>
        <v>0</v>
      </c>
      <c r="CE45" s="114">
        <f t="shared" si="4"/>
        <v>0</v>
      </c>
      <c r="CF45" s="114">
        <f t="shared" si="4"/>
        <v>0</v>
      </c>
      <c r="CG45" s="114">
        <f t="shared" si="4"/>
        <v>0</v>
      </c>
      <c r="CH45" s="114">
        <f t="shared" si="4"/>
        <v>0</v>
      </c>
      <c r="CI45" s="114">
        <f t="shared" si="4"/>
        <v>0</v>
      </c>
      <c r="CJ45" s="114">
        <f t="shared" si="4"/>
        <v>0</v>
      </c>
      <c r="CK45" s="114">
        <f t="shared" si="4"/>
        <v>0</v>
      </c>
      <c r="CL45" s="114">
        <f t="shared" si="4"/>
        <v>0</v>
      </c>
      <c r="CM45" s="114">
        <f t="shared" si="4"/>
        <v>0</v>
      </c>
      <c r="CN45" s="114">
        <f t="shared" si="4"/>
        <v>0</v>
      </c>
      <c r="CO45" s="114">
        <f t="shared" si="4"/>
        <v>0</v>
      </c>
      <c r="CP45" s="114">
        <f t="shared" si="4"/>
        <v>0</v>
      </c>
      <c r="CQ45" s="114">
        <f t="shared" si="4"/>
        <v>0</v>
      </c>
      <c r="CR45" s="114">
        <f t="shared" si="4"/>
        <v>0</v>
      </c>
      <c r="CS45" s="114">
        <f t="shared" si="4"/>
        <v>0</v>
      </c>
      <c r="CT45" s="114">
        <f t="shared" si="4"/>
        <v>0</v>
      </c>
      <c r="CU45" s="114">
        <f t="shared" si="4"/>
        <v>0</v>
      </c>
      <c r="CV45" s="114">
        <f t="shared" si="4"/>
        <v>0</v>
      </c>
      <c r="CW45" s="114">
        <f t="shared" si="4"/>
        <v>0</v>
      </c>
      <c r="CX45" s="114">
        <f t="shared" si="4"/>
        <v>0</v>
      </c>
      <c r="CY45" s="114">
        <f t="shared" si="4"/>
        <v>0</v>
      </c>
      <c r="CZ45" s="114">
        <f t="shared" si="4"/>
        <v>0</v>
      </c>
      <c r="DA45" s="114">
        <f t="shared" si="4"/>
        <v>0</v>
      </c>
      <c r="DB45" s="114">
        <f t="shared" si="4"/>
        <v>0</v>
      </c>
      <c r="DC45" s="114">
        <f t="shared" si="4"/>
        <v>0</v>
      </c>
      <c r="DD45" s="114">
        <f t="shared" si="4"/>
        <v>0</v>
      </c>
      <c r="DE45" s="114">
        <f t="shared" si="4"/>
        <v>0</v>
      </c>
      <c r="DF45" s="114">
        <f t="shared" si="4"/>
        <v>0</v>
      </c>
      <c r="DG45" s="114">
        <f t="shared" si="4"/>
        <v>0</v>
      </c>
      <c r="DH45" s="114">
        <f t="shared" si="4"/>
        <v>0</v>
      </c>
      <c r="DI45" s="114">
        <f t="shared" si="4"/>
        <v>0</v>
      </c>
      <c r="DJ45" s="114">
        <f t="shared" si="4"/>
        <v>0</v>
      </c>
      <c r="DK45" s="114">
        <f t="shared" si="4"/>
        <v>0</v>
      </c>
      <c r="DL45" s="114">
        <f t="shared" si="4"/>
        <v>0</v>
      </c>
      <c r="DM45" s="114">
        <f t="shared" si="4"/>
        <v>0</v>
      </c>
      <c r="DN45" s="114">
        <f t="shared" si="4"/>
        <v>0</v>
      </c>
      <c r="DO45" s="114">
        <f t="shared" si="4"/>
        <v>0</v>
      </c>
      <c r="DP45" s="114">
        <f t="shared" si="4"/>
        <v>0</v>
      </c>
      <c r="DQ45" s="114">
        <f t="shared" si="4"/>
        <v>0</v>
      </c>
      <c r="DR45" s="114">
        <f t="shared" si="4"/>
        <v>0</v>
      </c>
      <c r="DS45" s="114">
        <f t="shared" si="4"/>
        <v>0</v>
      </c>
      <c r="DT45" s="114">
        <f t="shared" si="4"/>
        <v>0</v>
      </c>
      <c r="DU45" s="114">
        <f t="shared" si="4"/>
        <v>0</v>
      </c>
      <c r="DV45" s="114">
        <f t="shared" si="4"/>
        <v>0</v>
      </c>
      <c r="DW45" s="114">
        <f t="shared" si="4"/>
        <v>0</v>
      </c>
      <c r="DX45" s="114">
        <f t="shared" si="4"/>
        <v>0</v>
      </c>
      <c r="DY45" s="114">
        <f t="shared" si="4"/>
        <v>0</v>
      </c>
      <c r="DZ45" s="114">
        <f t="shared" ref="DZ45:EW45" si="5">SUM(DZ25:DZ44)</f>
        <v>0</v>
      </c>
      <c r="EA45" s="114">
        <f t="shared" si="5"/>
        <v>0</v>
      </c>
      <c r="EB45" s="114">
        <f t="shared" si="5"/>
        <v>0</v>
      </c>
      <c r="EC45" s="114">
        <f t="shared" si="5"/>
        <v>0</v>
      </c>
      <c r="ED45" s="114">
        <f t="shared" si="5"/>
        <v>0</v>
      </c>
      <c r="EE45" s="114">
        <f t="shared" si="5"/>
        <v>0</v>
      </c>
      <c r="EF45" s="114">
        <f t="shared" si="5"/>
        <v>0</v>
      </c>
      <c r="EG45" s="114">
        <f t="shared" si="5"/>
        <v>0</v>
      </c>
      <c r="EH45" s="114">
        <f t="shared" si="5"/>
        <v>0</v>
      </c>
      <c r="EI45" s="114">
        <f t="shared" si="5"/>
        <v>0</v>
      </c>
      <c r="EJ45" s="114">
        <f t="shared" si="5"/>
        <v>0</v>
      </c>
      <c r="EK45" s="114">
        <f t="shared" si="5"/>
        <v>0</v>
      </c>
      <c r="EL45" s="114">
        <f t="shared" si="5"/>
        <v>0</v>
      </c>
      <c r="EM45" s="114">
        <f t="shared" si="5"/>
        <v>0</v>
      </c>
      <c r="EN45" s="114">
        <f t="shared" si="5"/>
        <v>0</v>
      </c>
      <c r="EO45" s="114">
        <f t="shared" si="5"/>
        <v>0</v>
      </c>
      <c r="EP45" s="114">
        <f t="shared" si="5"/>
        <v>0</v>
      </c>
      <c r="EQ45" s="114">
        <f t="shared" si="5"/>
        <v>0</v>
      </c>
      <c r="ER45" s="114">
        <f t="shared" si="5"/>
        <v>0</v>
      </c>
      <c r="ES45" s="114">
        <f t="shared" si="5"/>
        <v>0</v>
      </c>
      <c r="ET45" s="114">
        <f t="shared" si="5"/>
        <v>0</v>
      </c>
      <c r="EU45" s="114">
        <f t="shared" si="5"/>
        <v>0</v>
      </c>
      <c r="EV45" s="114">
        <f t="shared" si="5"/>
        <v>0</v>
      </c>
      <c r="EW45" s="114">
        <f t="shared" si="5"/>
        <v>0</v>
      </c>
    </row>
    <row r="46" ht="15.75" customHeight="1" spans="1:4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</row>
    <row r="47" ht="15.75" customHeight="1" spans="1:151">
      <c r="A47" s="118" t="s">
        <v>148</v>
      </c>
      <c r="B47" s="119">
        <f t="shared" ref="B47:BM47" si="6">B45/B23*100%</f>
        <v>0</v>
      </c>
      <c r="C47" s="119">
        <f t="shared" si="6"/>
        <v>0.181818181818182</v>
      </c>
      <c r="D47" s="119">
        <f t="shared" si="6"/>
        <v>0.580645161290323</v>
      </c>
      <c r="E47" s="119">
        <f t="shared" si="6"/>
        <v>0.155844155844156</v>
      </c>
      <c r="F47" s="119">
        <f t="shared" si="6"/>
        <v>0.138461538461538</v>
      </c>
      <c r="G47" s="119">
        <f t="shared" si="6"/>
        <v>0.078125</v>
      </c>
      <c r="H47" s="119">
        <f t="shared" si="6"/>
        <v>0.19047619047619</v>
      </c>
      <c r="I47" s="119">
        <f t="shared" si="6"/>
        <v>0.0869565217391304</v>
      </c>
      <c r="J47" s="119">
        <f t="shared" si="6"/>
        <v>0.26865671641791</v>
      </c>
      <c r="K47" s="119">
        <f t="shared" si="6"/>
        <v>0.261682242990654</v>
      </c>
      <c r="L47" s="119">
        <f t="shared" si="6"/>
        <v>0.284210526315789</v>
      </c>
      <c r="M47" s="119">
        <f t="shared" si="6"/>
        <v>0.198198198198198</v>
      </c>
      <c r="N47" s="119">
        <f t="shared" si="6"/>
        <v>0.173076923076923</v>
      </c>
      <c r="O47" s="119">
        <f t="shared" si="6"/>
        <v>0.233766233766234</v>
      </c>
      <c r="P47" s="119">
        <f t="shared" si="6"/>
        <v>0.218181818181818</v>
      </c>
      <c r="Q47" s="119">
        <f t="shared" si="6"/>
        <v>0.138297872340426</v>
      </c>
      <c r="R47" s="119">
        <f t="shared" si="6"/>
        <v>0.247422680412371</v>
      </c>
      <c r="S47" s="119">
        <f t="shared" si="6"/>
        <v>0.247706422018349</v>
      </c>
      <c r="T47" s="119">
        <f t="shared" si="6"/>
        <v>0.303030303030303</v>
      </c>
      <c r="U47" s="119">
        <f t="shared" si="6"/>
        <v>0.290780141843972</v>
      </c>
      <c r="V47" s="119">
        <f t="shared" si="6"/>
        <v>0.244897959183673</v>
      </c>
      <c r="W47" s="119">
        <f t="shared" si="6"/>
        <v>0.265625</v>
      </c>
      <c r="X47" s="119">
        <f t="shared" si="6"/>
        <v>0.236641221374046</v>
      </c>
      <c r="Y47" s="119">
        <f t="shared" si="6"/>
        <v>0.360544217687075</v>
      </c>
      <c r="Z47" s="119">
        <f t="shared" si="6"/>
        <v>0.307692307692308</v>
      </c>
      <c r="AA47" s="119">
        <f t="shared" si="6"/>
        <v>0.301282051282051</v>
      </c>
      <c r="AB47" s="119">
        <f t="shared" si="6"/>
        <v>0.339805825242718</v>
      </c>
      <c r="AC47" s="119">
        <f t="shared" si="6"/>
        <v>0.312101910828025</v>
      </c>
      <c r="AD47" s="119">
        <f t="shared" si="6"/>
        <v>0.3</v>
      </c>
      <c r="AE47" s="119">
        <f t="shared" si="6"/>
        <v>0.306666666666667</v>
      </c>
      <c r="AF47" s="119">
        <f t="shared" si="6"/>
        <v>0.183098591549296</v>
      </c>
      <c r="AG47" s="119">
        <f t="shared" si="6"/>
        <v>0.402298850574713</v>
      </c>
      <c r="AH47" s="119">
        <f t="shared" si="6"/>
        <v>0.276785714285714</v>
      </c>
      <c r="AI47" s="119">
        <f t="shared" si="6"/>
        <v>0.222222222222222</v>
      </c>
      <c r="AJ47" s="119">
        <f t="shared" si="6"/>
        <v>0.218181818181818</v>
      </c>
      <c r="AK47" s="119">
        <f t="shared" si="6"/>
        <v>0.377358490566038</v>
      </c>
      <c r="AL47" s="119">
        <f t="shared" si="6"/>
        <v>0.35</v>
      </c>
      <c r="AM47" s="119">
        <f t="shared" si="6"/>
        <v>0.388429752066116</v>
      </c>
      <c r="AN47" s="119">
        <f t="shared" si="6"/>
        <v>0.299435028248588</v>
      </c>
      <c r="AO47" s="119">
        <f t="shared" si="6"/>
        <v>0.44311377245509</v>
      </c>
      <c r="AP47" s="119">
        <f t="shared" si="6"/>
        <v>0.351758793969849</v>
      </c>
      <c r="AQ47" s="119">
        <f t="shared" si="6"/>
        <v>0.350282485875706</v>
      </c>
      <c r="AR47" s="119">
        <f t="shared" si="6"/>
        <v>0.290322580645161</v>
      </c>
      <c r="AS47" s="119">
        <f t="shared" si="6"/>
        <v>0.338461538461538</v>
      </c>
      <c r="AT47" s="119">
        <f t="shared" si="6"/>
        <v>0.495238095238095</v>
      </c>
      <c r="AU47" s="119">
        <f t="shared" si="6"/>
        <v>0.325</v>
      </c>
      <c r="AV47" s="119">
        <f t="shared" si="6"/>
        <v>0.419354838709677</v>
      </c>
      <c r="AW47" s="119">
        <f t="shared" si="6"/>
        <v>0.148514851485149</v>
      </c>
      <c r="AX47" s="119">
        <f t="shared" si="6"/>
        <v>0.274725274725275</v>
      </c>
      <c r="AY47" s="119">
        <f t="shared" si="6"/>
        <v>0.419354838709677</v>
      </c>
      <c r="AZ47" s="119">
        <f t="shared" si="6"/>
        <v>0.4609375</v>
      </c>
      <c r="BA47" s="119">
        <f t="shared" si="6"/>
        <v>0.359375</v>
      </c>
      <c r="BB47" s="119">
        <f t="shared" si="6"/>
        <v>0.545945945945946</v>
      </c>
      <c r="BC47" s="119">
        <f t="shared" si="6"/>
        <v>0.528846153846154</v>
      </c>
      <c r="BD47" s="119">
        <f t="shared" si="6"/>
        <v>0.4</v>
      </c>
      <c r="BE47" s="119">
        <f t="shared" si="6"/>
        <v>0.577540106951872</v>
      </c>
      <c r="BF47" s="119">
        <f t="shared" si="6"/>
        <v>0.417112299465241</v>
      </c>
      <c r="BG47" s="119">
        <f t="shared" si="6"/>
        <v>0.430434782608696</v>
      </c>
      <c r="BH47" s="119">
        <f t="shared" si="6"/>
        <v>0.391705069124424</v>
      </c>
      <c r="BI47" s="119">
        <f t="shared" si="6"/>
        <v>0.392996108949416</v>
      </c>
      <c r="BJ47" s="119">
        <f t="shared" si="6"/>
        <v>0.470338983050847</v>
      </c>
      <c r="BK47" s="119">
        <f t="shared" si="6"/>
        <v>0.450261780104712</v>
      </c>
      <c r="BL47" s="119">
        <f t="shared" si="6"/>
        <v>0.48125</v>
      </c>
      <c r="BM47" s="119">
        <f t="shared" si="6"/>
        <v>0.30188679245283</v>
      </c>
      <c r="BN47" s="119">
        <f t="shared" ref="BN47:DY47" si="7">BN45/BN23*100%</f>
        <v>0.403361344537815</v>
      </c>
      <c r="BO47" s="119">
        <f t="shared" si="7"/>
        <v>0.372549019607843</v>
      </c>
      <c r="BP47" s="119">
        <f t="shared" si="7"/>
        <v>0.360544217687075</v>
      </c>
      <c r="BQ47" s="119">
        <f t="shared" si="7"/>
        <v>0.390374331550802</v>
      </c>
      <c r="BR47" s="119">
        <f t="shared" si="7"/>
        <v>0.435643564356436</v>
      </c>
      <c r="BS47" s="119">
        <f t="shared" si="7"/>
        <v>0.442307692307692</v>
      </c>
      <c r="BT47" s="119">
        <f t="shared" si="7"/>
        <v>0.505434782608696</v>
      </c>
      <c r="BU47" s="119">
        <f t="shared" si="7"/>
        <v>0.412280701754386</v>
      </c>
      <c r="BV47" s="119">
        <f t="shared" si="7"/>
        <v>0.473214285714286</v>
      </c>
      <c r="BW47" s="119">
        <f t="shared" si="7"/>
        <v>0.387640449438202</v>
      </c>
      <c r="BX47" s="119">
        <f t="shared" si="7"/>
        <v>0.405128205128205</v>
      </c>
      <c r="BY47" s="119">
        <f t="shared" si="7"/>
        <v>0.357575757575758</v>
      </c>
      <c r="BZ47" s="119">
        <f t="shared" si="7"/>
        <v>0.429347826086957</v>
      </c>
      <c r="CA47" s="119" t="e">
        <f t="shared" si="7"/>
        <v>#DIV/0!</v>
      </c>
      <c r="CB47" s="119" t="e">
        <f t="shared" si="7"/>
        <v>#DIV/0!</v>
      </c>
      <c r="CC47" s="119" t="e">
        <f t="shared" si="7"/>
        <v>#DIV/0!</v>
      </c>
      <c r="CD47" s="119" t="e">
        <f t="shared" si="7"/>
        <v>#DIV/0!</v>
      </c>
      <c r="CE47" s="119" t="e">
        <f t="shared" si="7"/>
        <v>#DIV/0!</v>
      </c>
      <c r="CF47" s="119" t="e">
        <f t="shared" si="7"/>
        <v>#DIV/0!</v>
      </c>
      <c r="CG47" s="119" t="e">
        <f t="shared" si="7"/>
        <v>#DIV/0!</v>
      </c>
      <c r="CH47" s="119" t="e">
        <f t="shared" si="7"/>
        <v>#DIV/0!</v>
      </c>
      <c r="CI47" s="119" t="e">
        <f t="shared" si="7"/>
        <v>#DIV/0!</v>
      </c>
      <c r="CJ47" s="119" t="e">
        <f t="shared" si="7"/>
        <v>#DIV/0!</v>
      </c>
      <c r="CK47" s="119" t="e">
        <f t="shared" si="7"/>
        <v>#DIV/0!</v>
      </c>
      <c r="CL47" s="119" t="e">
        <f t="shared" si="7"/>
        <v>#DIV/0!</v>
      </c>
      <c r="CM47" s="119" t="e">
        <f t="shared" si="7"/>
        <v>#DIV/0!</v>
      </c>
      <c r="CN47" s="119" t="e">
        <f t="shared" si="7"/>
        <v>#DIV/0!</v>
      </c>
      <c r="CO47" s="119" t="e">
        <f t="shared" si="7"/>
        <v>#DIV/0!</v>
      </c>
      <c r="CP47" s="119" t="e">
        <f t="shared" si="7"/>
        <v>#DIV/0!</v>
      </c>
      <c r="CQ47" s="119" t="e">
        <f t="shared" si="7"/>
        <v>#DIV/0!</v>
      </c>
      <c r="CR47" s="119" t="e">
        <f t="shared" si="7"/>
        <v>#DIV/0!</v>
      </c>
      <c r="CS47" s="119" t="e">
        <f t="shared" si="7"/>
        <v>#DIV/0!</v>
      </c>
      <c r="CT47" s="119" t="e">
        <f t="shared" si="7"/>
        <v>#DIV/0!</v>
      </c>
      <c r="CU47" s="119" t="e">
        <f t="shared" si="7"/>
        <v>#DIV/0!</v>
      </c>
      <c r="CV47" s="119" t="e">
        <f t="shared" si="7"/>
        <v>#DIV/0!</v>
      </c>
      <c r="CW47" s="119" t="e">
        <f t="shared" si="7"/>
        <v>#DIV/0!</v>
      </c>
      <c r="CX47" s="119" t="e">
        <f t="shared" si="7"/>
        <v>#DIV/0!</v>
      </c>
      <c r="CY47" s="119" t="e">
        <f t="shared" si="7"/>
        <v>#DIV/0!</v>
      </c>
      <c r="CZ47" s="119" t="e">
        <f t="shared" si="7"/>
        <v>#DIV/0!</v>
      </c>
      <c r="DA47" s="119" t="e">
        <f t="shared" si="7"/>
        <v>#DIV/0!</v>
      </c>
      <c r="DB47" s="119" t="e">
        <f t="shared" si="7"/>
        <v>#DIV/0!</v>
      </c>
      <c r="DC47" s="119" t="e">
        <f t="shared" si="7"/>
        <v>#DIV/0!</v>
      </c>
      <c r="DD47" s="119" t="e">
        <f t="shared" si="7"/>
        <v>#DIV/0!</v>
      </c>
      <c r="DE47" s="119" t="e">
        <f t="shared" si="7"/>
        <v>#DIV/0!</v>
      </c>
      <c r="DF47" s="119" t="e">
        <f t="shared" si="7"/>
        <v>#DIV/0!</v>
      </c>
      <c r="DG47" s="119" t="e">
        <f t="shared" si="7"/>
        <v>#DIV/0!</v>
      </c>
      <c r="DH47" s="119" t="e">
        <f t="shared" si="7"/>
        <v>#DIV/0!</v>
      </c>
      <c r="DI47" s="119" t="e">
        <f t="shared" si="7"/>
        <v>#DIV/0!</v>
      </c>
      <c r="DJ47" s="119" t="e">
        <f t="shared" si="7"/>
        <v>#DIV/0!</v>
      </c>
      <c r="DK47" s="119" t="e">
        <f t="shared" si="7"/>
        <v>#DIV/0!</v>
      </c>
      <c r="DL47" s="119" t="e">
        <f t="shared" si="7"/>
        <v>#DIV/0!</v>
      </c>
      <c r="DM47" s="119" t="e">
        <f t="shared" si="7"/>
        <v>#DIV/0!</v>
      </c>
      <c r="DN47" s="119" t="e">
        <f t="shared" si="7"/>
        <v>#DIV/0!</v>
      </c>
      <c r="DO47" s="119" t="e">
        <f t="shared" si="7"/>
        <v>#DIV/0!</v>
      </c>
      <c r="DP47" s="119" t="e">
        <f t="shared" si="7"/>
        <v>#DIV/0!</v>
      </c>
      <c r="DQ47" s="119" t="e">
        <f t="shared" si="7"/>
        <v>#DIV/0!</v>
      </c>
      <c r="DR47" s="119" t="e">
        <f t="shared" si="7"/>
        <v>#DIV/0!</v>
      </c>
      <c r="DS47" s="119" t="e">
        <f t="shared" si="7"/>
        <v>#DIV/0!</v>
      </c>
      <c r="DT47" s="119" t="e">
        <f t="shared" si="7"/>
        <v>#DIV/0!</v>
      </c>
      <c r="DU47" s="119" t="e">
        <f t="shared" si="7"/>
        <v>#DIV/0!</v>
      </c>
      <c r="DV47" s="119" t="e">
        <f t="shared" si="7"/>
        <v>#DIV/0!</v>
      </c>
      <c r="DW47" s="119" t="e">
        <f t="shared" si="7"/>
        <v>#DIV/0!</v>
      </c>
      <c r="DX47" s="119" t="e">
        <f t="shared" si="7"/>
        <v>#DIV/0!</v>
      </c>
      <c r="DY47" s="119" t="e">
        <f t="shared" si="7"/>
        <v>#DIV/0!</v>
      </c>
      <c r="DZ47" s="119" t="e">
        <f t="shared" ref="DZ47:EU47" si="8">DZ45/DZ23*100%</f>
        <v>#DIV/0!</v>
      </c>
      <c r="EA47" s="119" t="e">
        <f t="shared" si="8"/>
        <v>#DIV/0!</v>
      </c>
      <c r="EB47" s="119" t="e">
        <f t="shared" si="8"/>
        <v>#DIV/0!</v>
      </c>
      <c r="EC47" s="119" t="e">
        <f t="shared" si="8"/>
        <v>#DIV/0!</v>
      </c>
      <c r="ED47" s="119" t="e">
        <f t="shared" si="8"/>
        <v>#DIV/0!</v>
      </c>
      <c r="EE47" s="119" t="e">
        <f t="shared" si="8"/>
        <v>#DIV/0!</v>
      </c>
      <c r="EF47" s="119" t="e">
        <f t="shared" si="8"/>
        <v>#DIV/0!</v>
      </c>
      <c r="EG47" s="119" t="e">
        <f t="shared" si="8"/>
        <v>#DIV/0!</v>
      </c>
      <c r="EH47" s="119" t="e">
        <f t="shared" si="8"/>
        <v>#DIV/0!</v>
      </c>
      <c r="EI47" s="119" t="e">
        <f t="shared" si="8"/>
        <v>#DIV/0!</v>
      </c>
      <c r="EJ47" s="119" t="e">
        <f t="shared" si="8"/>
        <v>#DIV/0!</v>
      </c>
      <c r="EK47" s="119" t="e">
        <f t="shared" si="8"/>
        <v>#DIV/0!</v>
      </c>
      <c r="EL47" s="119" t="e">
        <f t="shared" si="8"/>
        <v>#DIV/0!</v>
      </c>
      <c r="EM47" s="119" t="e">
        <f t="shared" si="8"/>
        <v>#DIV/0!</v>
      </c>
      <c r="EN47" s="119" t="e">
        <f t="shared" si="8"/>
        <v>#DIV/0!</v>
      </c>
      <c r="EO47" s="119" t="e">
        <f t="shared" si="8"/>
        <v>#DIV/0!</v>
      </c>
      <c r="EP47" s="119" t="e">
        <f t="shared" si="8"/>
        <v>#DIV/0!</v>
      </c>
      <c r="EQ47" s="119" t="e">
        <f t="shared" si="8"/>
        <v>#DIV/0!</v>
      </c>
      <c r="ER47" s="119" t="e">
        <f t="shared" si="8"/>
        <v>#DIV/0!</v>
      </c>
      <c r="ES47" s="119" t="e">
        <f t="shared" si="8"/>
        <v>#DIV/0!</v>
      </c>
      <c r="ET47" s="119" t="e">
        <f t="shared" si="8"/>
        <v>#DIV/0!</v>
      </c>
      <c r="EU47" s="119" t="e">
        <f t="shared" si="8"/>
        <v>#DIV/0!</v>
      </c>
    </row>
    <row r="48" ht="15.75" customHeight="1" spans="1:45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</row>
    <row r="49" ht="15.75" customHeight="1" spans="1:45">
      <c r="A49" s="120" t="s">
        <v>149</v>
      </c>
      <c r="B49" s="114">
        <f>SUM(B23:EU23)</f>
        <v>10960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</row>
    <row r="50" ht="15.75" customHeight="1" spans="1:45">
      <c r="A50" s="121" t="s">
        <v>150</v>
      </c>
      <c r="B50" s="114">
        <f>SUM(B45:EU45)</f>
        <v>3911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</row>
    <row r="51" ht="15.75" customHeight="1" spans="1:45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</row>
    <row r="52" ht="15.75" customHeight="1" spans="1:45">
      <c r="A52" s="114" t="s">
        <v>151</v>
      </c>
      <c r="B52" s="122">
        <f>B50/B49*100%</f>
        <v>0.356843065693431</v>
      </c>
      <c r="C52" s="114"/>
      <c r="D52" s="114"/>
      <c r="E52" s="114"/>
      <c r="F52" s="119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</row>
    <row r="54" spans="1:13">
      <c r="A54" s="123" t="s">
        <v>152</v>
      </c>
      <c r="B54" s="124" t="s">
        <v>153</v>
      </c>
      <c r="C54" s="124" t="s">
        <v>87</v>
      </c>
      <c r="D54" s="125" t="s">
        <v>154</v>
      </c>
      <c r="H54" s="126" t="s">
        <v>155</v>
      </c>
      <c r="I54" s="133"/>
      <c r="J54" s="133"/>
      <c r="K54" s="133"/>
      <c r="L54" s="133"/>
      <c r="M54" s="134"/>
    </row>
    <row r="55" spans="1:13">
      <c r="A55" s="127"/>
      <c r="B55" s="127"/>
      <c r="C55" s="127"/>
      <c r="D55" s="127"/>
      <c r="H55" s="128"/>
      <c r="M55" s="135"/>
    </row>
    <row r="56" ht="15.75" customHeight="1" spans="1:13">
      <c r="A56" s="110" t="s">
        <v>129</v>
      </c>
      <c r="B56" s="129">
        <f t="shared" ref="B56:B75" si="9">SUM(B3:EU3)</f>
        <v>214</v>
      </c>
      <c r="C56" s="129">
        <f t="shared" ref="C56:C75" si="10">SUM(B25:EU25)</f>
        <v>47</v>
      </c>
      <c r="D56" s="130">
        <f t="shared" ref="D56:D75" si="11">C56/B56*100%</f>
        <v>0.219626168224299</v>
      </c>
      <c r="H56" s="128"/>
      <c r="M56" s="135"/>
    </row>
    <row r="57" ht="15.75" customHeight="1" spans="1:13">
      <c r="A57" s="110" t="s">
        <v>130</v>
      </c>
      <c r="B57" s="129">
        <f t="shared" si="9"/>
        <v>17</v>
      </c>
      <c r="C57" s="129">
        <f t="shared" si="10"/>
        <v>2</v>
      </c>
      <c r="D57" s="130">
        <f t="shared" si="11"/>
        <v>0.117647058823529</v>
      </c>
      <c r="H57" s="128"/>
      <c r="M57" s="135"/>
    </row>
    <row r="58" ht="15.75" customHeight="1" spans="1:13">
      <c r="A58" s="110" t="s">
        <v>131</v>
      </c>
      <c r="B58" s="129">
        <f t="shared" si="9"/>
        <v>3873</v>
      </c>
      <c r="C58" s="129">
        <f t="shared" si="10"/>
        <v>1229</v>
      </c>
      <c r="D58" s="130">
        <f t="shared" si="11"/>
        <v>0.317325071004389</v>
      </c>
      <c r="H58" s="128"/>
      <c r="M58" s="135"/>
    </row>
    <row r="59" ht="15.75" customHeight="1" spans="1:13">
      <c r="A59" s="110" t="s">
        <v>132</v>
      </c>
      <c r="B59" s="129">
        <f t="shared" si="9"/>
        <v>3232</v>
      </c>
      <c r="C59" s="129">
        <f t="shared" si="10"/>
        <v>1304</v>
      </c>
      <c r="D59" s="130">
        <f t="shared" si="11"/>
        <v>0.403465346534653</v>
      </c>
      <c r="H59" s="128"/>
      <c r="M59" s="135"/>
    </row>
    <row r="60" ht="15.75" customHeight="1" spans="1:13">
      <c r="A60" s="110" t="s">
        <v>133</v>
      </c>
      <c r="B60" s="129">
        <f t="shared" si="9"/>
        <v>0</v>
      </c>
      <c r="C60" s="129">
        <f t="shared" si="10"/>
        <v>0</v>
      </c>
      <c r="D60" s="130" t="e">
        <f t="shared" si="11"/>
        <v>#DIV/0!</v>
      </c>
      <c r="H60" s="128"/>
      <c r="M60" s="135"/>
    </row>
    <row r="61" ht="15.75" customHeight="1" spans="1:13">
      <c r="A61" s="110" t="s">
        <v>134</v>
      </c>
      <c r="B61" s="129">
        <f t="shared" si="9"/>
        <v>0</v>
      </c>
      <c r="C61" s="129">
        <f t="shared" si="10"/>
        <v>0</v>
      </c>
      <c r="D61" s="130" t="e">
        <f t="shared" si="11"/>
        <v>#DIV/0!</v>
      </c>
      <c r="H61" s="128"/>
      <c r="M61" s="135"/>
    </row>
    <row r="62" ht="15.75" customHeight="1" spans="1:13">
      <c r="A62" s="110" t="s">
        <v>135</v>
      </c>
      <c r="B62" s="129">
        <f t="shared" si="9"/>
        <v>0</v>
      </c>
      <c r="C62" s="129">
        <f t="shared" si="10"/>
        <v>0</v>
      </c>
      <c r="D62" s="130" t="e">
        <f t="shared" si="11"/>
        <v>#DIV/0!</v>
      </c>
      <c r="H62" s="128"/>
      <c r="M62" s="135"/>
    </row>
    <row r="63" ht="15.75" customHeight="1" spans="1:13">
      <c r="A63" s="110" t="s">
        <v>136</v>
      </c>
      <c r="B63" s="129">
        <f t="shared" si="9"/>
        <v>81</v>
      </c>
      <c r="C63" s="129">
        <f t="shared" si="10"/>
        <v>38</v>
      </c>
      <c r="D63" s="130">
        <f t="shared" si="11"/>
        <v>0.469135802469136</v>
      </c>
      <c r="H63" s="128"/>
      <c r="M63" s="135"/>
    </row>
    <row r="64" ht="15.75" customHeight="1" spans="1:13">
      <c r="A64" s="110" t="s">
        <v>137</v>
      </c>
      <c r="B64" s="129">
        <f t="shared" si="9"/>
        <v>0</v>
      </c>
      <c r="C64" s="129">
        <f t="shared" si="10"/>
        <v>0</v>
      </c>
      <c r="D64" s="130" t="e">
        <f t="shared" si="11"/>
        <v>#DIV/0!</v>
      </c>
      <c r="H64" s="128"/>
      <c r="M64" s="135"/>
    </row>
    <row r="65" ht="15.75" customHeight="1" spans="1:13">
      <c r="A65" s="110" t="s">
        <v>138</v>
      </c>
      <c r="B65" s="129">
        <f t="shared" si="9"/>
        <v>0</v>
      </c>
      <c r="C65" s="129">
        <f t="shared" si="10"/>
        <v>0</v>
      </c>
      <c r="D65" s="130" t="e">
        <f t="shared" si="11"/>
        <v>#DIV/0!</v>
      </c>
      <c r="H65" s="128"/>
      <c r="M65" s="135"/>
    </row>
    <row r="66" ht="15.75" customHeight="1" spans="1:13">
      <c r="A66" s="110" t="s">
        <v>139</v>
      </c>
      <c r="B66" s="129">
        <f t="shared" si="9"/>
        <v>0</v>
      </c>
      <c r="C66" s="129">
        <f t="shared" si="10"/>
        <v>0</v>
      </c>
      <c r="D66" s="130" t="e">
        <f t="shared" si="11"/>
        <v>#DIV/0!</v>
      </c>
      <c r="H66" s="128"/>
      <c r="M66" s="135"/>
    </row>
    <row r="67" ht="15.75" customHeight="1" spans="1:13">
      <c r="A67" s="110" t="s">
        <v>101</v>
      </c>
      <c r="B67" s="129">
        <f t="shared" si="9"/>
        <v>1672</v>
      </c>
      <c r="C67" s="129">
        <f t="shared" si="10"/>
        <v>602</v>
      </c>
      <c r="D67" s="130">
        <f t="shared" si="11"/>
        <v>0.360047846889952</v>
      </c>
      <c r="H67" s="128"/>
      <c r="M67" s="135"/>
    </row>
    <row r="68" ht="15.75" customHeight="1" spans="1:13">
      <c r="A68" s="110" t="s">
        <v>90</v>
      </c>
      <c r="B68" s="129">
        <f t="shared" si="9"/>
        <v>1310</v>
      </c>
      <c r="C68" s="129">
        <f t="shared" si="10"/>
        <v>528</v>
      </c>
      <c r="D68" s="130">
        <f t="shared" si="11"/>
        <v>0.403053435114504</v>
      </c>
      <c r="H68" s="128"/>
      <c r="M68" s="135"/>
    </row>
    <row r="69" ht="15.75" customHeight="1" spans="1:13">
      <c r="A69" s="110" t="s">
        <v>140</v>
      </c>
      <c r="B69" s="129">
        <f t="shared" si="9"/>
        <v>0</v>
      </c>
      <c r="C69" s="129">
        <f t="shared" si="10"/>
        <v>0</v>
      </c>
      <c r="D69" s="130" t="e">
        <f t="shared" si="11"/>
        <v>#DIV/0!</v>
      </c>
      <c r="H69" s="128"/>
      <c r="M69" s="135"/>
    </row>
    <row r="70" ht="15.75" customHeight="1" spans="1:13">
      <c r="A70" s="110" t="s">
        <v>141</v>
      </c>
      <c r="B70" s="129">
        <f t="shared" si="9"/>
        <v>0</v>
      </c>
      <c r="C70" s="129">
        <f t="shared" si="10"/>
        <v>0</v>
      </c>
      <c r="D70" s="130" t="e">
        <f t="shared" si="11"/>
        <v>#DIV/0!</v>
      </c>
      <c r="H70" s="128"/>
      <c r="M70" s="135"/>
    </row>
    <row r="71" ht="15.75" customHeight="1" spans="1:13">
      <c r="A71" s="110" t="s">
        <v>142</v>
      </c>
      <c r="B71" s="129">
        <f t="shared" si="9"/>
        <v>0</v>
      </c>
      <c r="C71" s="129">
        <f t="shared" si="10"/>
        <v>0</v>
      </c>
      <c r="D71" s="130" t="e">
        <f t="shared" si="11"/>
        <v>#DIV/0!</v>
      </c>
      <c r="H71" s="143"/>
      <c r="I71" s="107"/>
      <c r="J71" s="107"/>
      <c r="K71" s="107"/>
      <c r="L71" s="107"/>
      <c r="M71" s="144"/>
    </row>
    <row r="72" ht="15.75" customHeight="1" spans="1:4">
      <c r="A72" s="110" t="s">
        <v>143</v>
      </c>
      <c r="B72" s="129">
        <f t="shared" si="9"/>
        <v>267</v>
      </c>
      <c r="C72" s="129">
        <f t="shared" si="10"/>
        <v>77</v>
      </c>
      <c r="D72" s="130">
        <f t="shared" si="11"/>
        <v>0.288389513108614</v>
      </c>
    </row>
    <row r="73" ht="15.75" customHeight="1" spans="1:4">
      <c r="A73" s="110" t="s">
        <v>109</v>
      </c>
      <c r="B73" s="129">
        <f t="shared" si="9"/>
        <v>259</v>
      </c>
      <c r="C73" s="129">
        <f t="shared" si="10"/>
        <v>71</v>
      </c>
      <c r="D73" s="130">
        <f t="shared" si="11"/>
        <v>0.274131274131274</v>
      </c>
    </row>
    <row r="74" ht="15.75" customHeight="1" spans="1:4">
      <c r="A74" s="110" t="s">
        <v>144</v>
      </c>
      <c r="B74" s="129">
        <f t="shared" si="9"/>
        <v>26</v>
      </c>
      <c r="C74" s="129">
        <f t="shared" si="10"/>
        <v>9</v>
      </c>
      <c r="D74" s="130">
        <f t="shared" si="11"/>
        <v>0.346153846153846</v>
      </c>
    </row>
    <row r="75" ht="15.75" customHeight="1" spans="1:4">
      <c r="A75" s="110" t="s">
        <v>145</v>
      </c>
      <c r="B75" s="129">
        <f t="shared" si="9"/>
        <v>9</v>
      </c>
      <c r="C75" s="129">
        <f t="shared" si="10"/>
        <v>4</v>
      </c>
      <c r="D75" s="130">
        <f t="shared" si="11"/>
        <v>0.444444444444444</v>
      </c>
    </row>
  </sheetData>
  <mergeCells count="6">
    <mergeCell ref="A1:CS1"/>
    <mergeCell ref="A54:A55"/>
    <mergeCell ref="B54:B55"/>
    <mergeCell ref="C54:C55"/>
    <mergeCell ref="D54:D55"/>
    <mergeCell ref="H54:M7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35"/>
  <sheetViews>
    <sheetView zoomScale="70" zoomScaleNormal="70" topLeftCell="A19" workbookViewId="0">
      <selection activeCell="C44" sqref="C44"/>
    </sheetView>
  </sheetViews>
  <sheetFormatPr defaultColWidth="11.5714285714286" defaultRowHeight="15" outlineLevelCol="2"/>
  <cols>
    <col min="1" max="1" width="15.2857142857143" style="92" customWidth="1"/>
    <col min="2" max="2" width="39.2857142857143" style="92" customWidth="1"/>
    <col min="3" max="3" width="116.714285714286" style="92" customWidth="1"/>
    <col min="4" max="4" width="25" style="92" customWidth="1"/>
    <col min="5" max="5" width="27.2857142857143" style="92" customWidth="1"/>
    <col min="6" max="6" width="50.7142857142857" style="92" customWidth="1"/>
    <col min="7" max="7" width="38.8571428571429" style="92" customWidth="1"/>
    <col min="8" max="8" width="27.2857142857143" style="92" customWidth="1"/>
    <col min="9" max="9" width="16.4285714285714" style="92" customWidth="1"/>
    <col min="10" max="10" width="26.7142857142857" style="92" customWidth="1"/>
    <col min="11" max="11" width="21.7142857142857" style="92" customWidth="1"/>
    <col min="12" max="12" width="23.8571428571429" style="92" customWidth="1"/>
    <col min="13" max="13" width="25" style="92" customWidth="1"/>
    <col min="14" max="14" width="35.7142857142857" style="92" customWidth="1"/>
    <col min="15" max="15" width="26.2857142857143" style="92" customWidth="1"/>
    <col min="16" max="16" width="30.5714285714286" style="92" customWidth="1"/>
    <col min="17" max="17" width="37.4285714285714" style="92" customWidth="1"/>
    <col min="18" max="16384" width="11.5714285714286" style="92" customWidth="1"/>
  </cols>
  <sheetData>
    <row r="2" ht="15.75" customHeight="1"/>
    <row r="3" ht="23.25" customHeight="1" spans="2:3">
      <c r="B3" s="93" t="s">
        <v>69</v>
      </c>
      <c r="C3" s="94" t="s">
        <v>156</v>
      </c>
    </row>
    <row r="4" ht="23.25" customHeight="1" spans="2:3">
      <c r="B4" s="95" t="s">
        <v>26</v>
      </c>
      <c r="C4" s="96" t="s">
        <v>157</v>
      </c>
    </row>
    <row r="5" ht="23.25" customHeight="1" spans="2:3">
      <c r="B5" s="97" t="s">
        <v>158</v>
      </c>
      <c r="C5" s="98" t="s">
        <v>159</v>
      </c>
    </row>
    <row r="6" ht="23.25" customHeight="1" spans="2:3">
      <c r="B6" s="97" t="s">
        <v>160</v>
      </c>
      <c r="C6" s="98" t="s">
        <v>161</v>
      </c>
    </row>
    <row r="7" ht="46.5" customHeight="1" spans="2:3">
      <c r="B7" s="97" t="s">
        <v>29</v>
      </c>
      <c r="C7" s="98" t="s">
        <v>162</v>
      </c>
    </row>
    <row r="8" ht="23.25" customHeight="1" spans="2:3">
      <c r="B8" s="97" t="s">
        <v>30</v>
      </c>
      <c r="C8" s="98" t="s">
        <v>163</v>
      </c>
    </row>
    <row r="9" ht="23.25" customHeight="1" spans="2:3">
      <c r="B9" s="97" t="s">
        <v>31</v>
      </c>
      <c r="C9" s="98" t="s">
        <v>164</v>
      </c>
    </row>
    <row r="10" ht="23.25" customHeight="1" spans="2:3">
      <c r="B10" s="97" t="s">
        <v>165</v>
      </c>
      <c r="C10" s="98" t="s">
        <v>166</v>
      </c>
    </row>
    <row r="11" ht="23.25" customHeight="1" spans="2:3">
      <c r="B11" s="97" t="s">
        <v>167</v>
      </c>
      <c r="C11" s="98" t="s">
        <v>168</v>
      </c>
    </row>
    <row r="12" ht="23.25" customHeight="1" spans="2:3">
      <c r="B12" s="97" t="s">
        <v>169</v>
      </c>
      <c r="C12" s="98" t="s">
        <v>170</v>
      </c>
    </row>
    <row r="13" ht="46.5" customHeight="1" spans="2:3">
      <c r="B13" s="97" t="s">
        <v>171</v>
      </c>
      <c r="C13" s="98" t="s">
        <v>172</v>
      </c>
    </row>
    <row r="14" ht="23.25" customHeight="1" spans="2:3">
      <c r="B14" s="97" t="s">
        <v>36</v>
      </c>
      <c r="C14" s="98" t="s">
        <v>173</v>
      </c>
    </row>
    <row r="15" ht="23.25" customHeight="1" spans="2:3">
      <c r="B15" s="97" t="s">
        <v>37</v>
      </c>
      <c r="C15" s="98" t="s">
        <v>174</v>
      </c>
    </row>
    <row r="16" ht="23.25" customHeight="1" spans="2:3">
      <c r="B16" s="97" t="s">
        <v>38</v>
      </c>
      <c r="C16" s="98" t="s">
        <v>175</v>
      </c>
    </row>
    <row r="17" ht="23.25" customHeight="1" spans="2:3">
      <c r="B17" s="97" t="s">
        <v>176</v>
      </c>
      <c r="C17" s="98" t="s">
        <v>177</v>
      </c>
    </row>
    <row r="18" ht="23.25" customHeight="1" spans="2:3">
      <c r="B18" s="97" t="s">
        <v>178</v>
      </c>
      <c r="C18" s="98" t="s">
        <v>179</v>
      </c>
    </row>
    <row r="19" ht="23.25" customHeight="1" spans="2:3">
      <c r="B19" s="97" t="s">
        <v>180</v>
      </c>
      <c r="C19" s="98" t="s">
        <v>181</v>
      </c>
    </row>
    <row r="20" ht="23.25" customHeight="1" spans="2:3">
      <c r="B20" s="97" t="s">
        <v>42</v>
      </c>
      <c r="C20" s="98" t="s">
        <v>182</v>
      </c>
    </row>
    <row r="21" ht="23.25" customHeight="1" spans="2:3">
      <c r="B21" s="97" t="s">
        <v>45</v>
      </c>
      <c r="C21" s="98" t="s">
        <v>183</v>
      </c>
    </row>
    <row r="22" ht="23.25" customHeight="1" spans="2:3">
      <c r="B22" s="97" t="s">
        <v>184</v>
      </c>
      <c r="C22" s="98" t="s">
        <v>185</v>
      </c>
    </row>
    <row r="23" ht="23.25" customHeight="1" spans="2:3">
      <c r="B23" s="97" t="s">
        <v>186</v>
      </c>
      <c r="C23" s="98" t="s">
        <v>187</v>
      </c>
    </row>
    <row r="24" ht="23.25" customHeight="1" spans="2:3">
      <c r="B24" s="97" t="s">
        <v>188</v>
      </c>
      <c r="C24" s="98" t="s">
        <v>189</v>
      </c>
    </row>
    <row r="25" ht="23.25" customHeight="1" spans="2:3">
      <c r="B25" s="99" t="s">
        <v>190</v>
      </c>
      <c r="C25" s="100" t="s">
        <v>191</v>
      </c>
    </row>
    <row r="26" ht="69.75" customHeight="1" spans="2:3">
      <c r="B26" s="97" t="s">
        <v>192</v>
      </c>
      <c r="C26" s="98" t="s">
        <v>193</v>
      </c>
    </row>
    <row r="27" ht="46.5" customHeight="1" spans="2:3">
      <c r="B27" s="97" t="s">
        <v>194</v>
      </c>
      <c r="C27" s="98" t="s">
        <v>195</v>
      </c>
    </row>
    <row r="28" ht="46.5" customHeight="1" spans="2:3">
      <c r="B28" s="97" t="s">
        <v>196</v>
      </c>
      <c r="C28" s="98" t="s">
        <v>197</v>
      </c>
    </row>
    <row r="29" ht="46.5" customHeight="1" spans="2:3">
      <c r="B29" s="97" t="s">
        <v>198</v>
      </c>
      <c r="C29" s="98" t="s">
        <v>199</v>
      </c>
    </row>
    <row r="30" ht="23.25" customHeight="1" spans="2:3">
      <c r="B30" s="97" t="s">
        <v>200</v>
      </c>
      <c r="C30" s="98" t="s">
        <v>201</v>
      </c>
    </row>
    <row r="31" ht="23.25" customHeight="1" spans="2:3">
      <c r="B31" s="97" t="s">
        <v>202</v>
      </c>
      <c r="C31" s="98" t="s">
        <v>203</v>
      </c>
    </row>
    <row r="32" ht="46.5" customHeight="1" spans="2:3">
      <c r="B32" s="97" t="s">
        <v>204</v>
      </c>
      <c r="C32" s="98" t="s">
        <v>205</v>
      </c>
    </row>
    <row r="33" ht="68.45" customHeight="1" spans="2:3">
      <c r="B33" s="101" t="s">
        <v>206</v>
      </c>
      <c r="C33" s="102" t="s">
        <v>207</v>
      </c>
    </row>
    <row r="34" ht="22.9" customHeight="1" spans="2:3">
      <c r="B34" s="103"/>
      <c r="C34" s="103"/>
    </row>
    <row r="35" ht="24" customHeight="1" spans="2:3">
      <c r="B35" s="104" t="s">
        <v>57</v>
      </c>
      <c r="C35" s="105" t="s">
        <v>208</v>
      </c>
    </row>
  </sheetData>
  <sheetProtection algorithmName="SHA-512" hashValue="6aNcfMzF7azaduYwbc+9GKtzicr1V02/TqGa4T6Xp7sLYlPNMQiBXll0USaDcQPzF9qayvuBruTSolUY6eYauw==" saltValue="it2phvlxqh485jOS8l+8YQ==" spinCount="100000" sheet="1" objects="1" scenarios="1"/>
  <mergeCells count="2">
    <mergeCell ref="B33:B34"/>
    <mergeCell ref="C33:C34"/>
  </mergeCells>
  <pageMargins left="0.39375" right="0.39375" top="0.39375" bottom="0.39375" header="0.511811023622047" footer="0.511811023622047"/>
  <pageSetup paperSize="9" orientation="landscape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zoomScale="70" zoomScaleNormal="70" topLeftCell="A18" workbookViewId="0">
      <selection activeCell="U34" sqref="U34"/>
    </sheetView>
  </sheetViews>
  <sheetFormatPr defaultColWidth="9" defaultRowHeight="15"/>
  <cols>
    <col min="1" max="1" width="6.85714285714286" customWidth="1"/>
    <col min="2" max="2" width="7" customWidth="1"/>
    <col min="3" max="3" width="15.2857142857143" customWidth="1"/>
    <col min="4" max="4" width="14.2857142857143" customWidth="1"/>
    <col min="5" max="5" width="9" customWidth="1"/>
    <col min="6" max="6" width="9.85714285714286" customWidth="1"/>
    <col min="7" max="7" width="38.4285714285714" customWidth="1"/>
    <col min="8" max="8" width="20.2857142857143" customWidth="1"/>
    <col min="9" max="9" width="15.1428571428571" customWidth="1"/>
    <col min="10" max="10" width="18" customWidth="1"/>
    <col min="11" max="11" width="10.4285714285714" customWidth="1"/>
    <col min="12" max="12" width="25.8571428571429" customWidth="1"/>
    <col min="13" max="13" width="18.2857142857143" customWidth="1"/>
    <col min="14" max="14" width="23.2857142857143" customWidth="1"/>
    <col min="15" max="15" width="18" customWidth="1"/>
  </cols>
  <sheetData>
    <row r="1" ht="15.75" customHeight="1"/>
    <row r="2" ht="18.75" customHeight="1" spans="1:15">
      <c r="A2" s="35" t="s">
        <v>209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68"/>
    </row>
    <row r="3" ht="15.75" customHeight="1" spans="1:15">
      <c r="A3" s="37" t="s">
        <v>67</v>
      </c>
      <c r="B3" s="38" t="s">
        <v>68</v>
      </c>
      <c r="C3" s="38" t="s">
        <v>69</v>
      </c>
      <c r="D3" s="38" t="s">
        <v>70</v>
      </c>
      <c r="E3" s="38" t="s">
        <v>210</v>
      </c>
      <c r="F3" s="39"/>
      <c r="G3" s="38" t="s">
        <v>211</v>
      </c>
      <c r="H3" s="38" t="s">
        <v>73</v>
      </c>
      <c r="I3" s="38" t="s">
        <v>74</v>
      </c>
      <c r="J3" s="38" t="s">
        <v>75</v>
      </c>
      <c r="K3" s="38" t="s">
        <v>76</v>
      </c>
      <c r="L3" s="38" t="s">
        <v>77</v>
      </c>
      <c r="M3" s="38" t="s">
        <v>78</v>
      </c>
      <c r="N3" s="38" t="s">
        <v>79</v>
      </c>
      <c r="O3" s="69" t="s">
        <v>80</v>
      </c>
    </row>
    <row r="4" ht="15.75" customHeight="1" spans="1:15">
      <c r="A4" s="40"/>
      <c r="B4" s="7"/>
      <c r="C4" s="7"/>
      <c r="D4" s="7"/>
      <c r="E4" s="38" t="s">
        <v>81</v>
      </c>
      <c r="F4" s="38" t="s">
        <v>82</v>
      </c>
      <c r="G4" s="7"/>
      <c r="H4" s="7"/>
      <c r="I4" s="7"/>
      <c r="J4" s="7"/>
      <c r="K4" s="7"/>
      <c r="L4" s="7"/>
      <c r="M4" s="7"/>
      <c r="N4" s="7"/>
      <c r="O4" s="70"/>
    </row>
    <row r="5" spans="1:15">
      <c r="A5" s="41">
        <v>1</v>
      </c>
      <c r="B5" s="3">
        <v>0.825</v>
      </c>
      <c r="C5" s="4"/>
      <c r="D5" s="42" t="s">
        <v>212</v>
      </c>
      <c r="E5" s="5">
        <v>5352867</v>
      </c>
      <c r="F5" s="5">
        <v>7367271</v>
      </c>
      <c r="G5" s="5" t="s">
        <v>213</v>
      </c>
      <c r="H5" s="5" t="s">
        <v>131</v>
      </c>
      <c r="I5" s="5">
        <v>1</v>
      </c>
      <c r="J5" s="5" t="s">
        <v>214</v>
      </c>
      <c r="K5" s="5">
        <v>1</v>
      </c>
      <c r="L5" s="12"/>
      <c r="M5" s="42" t="s">
        <v>212</v>
      </c>
      <c r="N5" s="71" t="s">
        <v>215</v>
      </c>
      <c r="O5" s="72" t="s">
        <v>216</v>
      </c>
    </row>
    <row r="6" ht="18.75" customHeight="1" spans="1:15">
      <c r="A6" s="43"/>
      <c r="N6" s="73" t="s">
        <v>217</v>
      </c>
      <c r="O6" s="74"/>
    </row>
    <row r="7" ht="18.75" customHeight="1" spans="1:15">
      <c r="A7" s="44" t="s">
        <v>218</v>
      </c>
      <c r="O7" s="75"/>
    </row>
    <row r="8" ht="15.75" customHeight="1" spans="1:15">
      <c r="A8" s="37" t="s">
        <v>67</v>
      </c>
      <c r="B8" s="38" t="s">
        <v>68</v>
      </c>
      <c r="C8" s="38" t="s">
        <v>69</v>
      </c>
      <c r="D8" s="38" t="s">
        <v>70</v>
      </c>
      <c r="E8" s="38" t="s">
        <v>210</v>
      </c>
      <c r="F8" s="39"/>
      <c r="G8" s="38" t="s">
        <v>211</v>
      </c>
      <c r="H8" s="38" t="s">
        <v>73</v>
      </c>
      <c r="I8" s="38" t="s">
        <v>74</v>
      </c>
      <c r="J8" s="38" t="s">
        <v>75</v>
      </c>
      <c r="K8" s="38" t="s">
        <v>76</v>
      </c>
      <c r="L8" s="38" t="s">
        <v>77</v>
      </c>
      <c r="M8" s="38" t="s">
        <v>78</v>
      </c>
      <c r="N8" s="38" t="s">
        <v>79</v>
      </c>
      <c r="O8" s="69" t="s">
        <v>80</v>
      </c>
    </row>
    <row r="9" ht="15.75" customHeight="1" spans="1:15">
      <c r="A9" s="40"/>
      <c r="B9" s="7"/>
      <c r="C9" s="7"/>
      <c r="D9" s="7"/>
      <c r="E9" s="38" t="s">
        <v>81</v>
      </c>
      <c r="F9" s="38" t="s">
        <v>82</v>
      </c>
      <c r="G9" s="7"/>
      <c r="H9" s="7"/>
      <c r="I9" s="7"/>
      <c r="J9" s="7"/>
      <c r="K9" s="7"/>
      <c r="L9" s="7"/>
      <c r="M9" s="7"/>
      <c r="N9" s="7"/>
      <c r="O9" s="70"/>
    </row>
    <row r="10" ht="15.75" customHeight="1" spans="1:15">
      <c r="A10" s="41">
        <v>1</v>
      </c>
      <c r="B10" s="3">
        <v>0.825</v>
      </c>
      <c r="C10" s="4"/>
      <c r="D10" s="42" t="s">
        <v>212</v>
      </c>
      <c r="E10" s="5">
        <v>5352867</v>
      </c>
      <c r="F10" s="5">
        <v>7367271</v>
      </c>
      <c r="G10" s="5" t="s">
        <v>213</v>
      </c>
      <c r="H10" s="5" t="s">
        <v>131</v>
      </c>
      <c r="I10" s="5">
        <v>1</v>
      </c>
      <c r="J10" s="5" t="s">
        <v>214</v>
      </c>
      <c r="K10" s="5">
        <v>1</v>
      </c>
      <c r="L10" s="12"/>
      <c r="M10" s="42" t="s">
        <v>212</v>
      </c>
      <c r="N10" s="71" t="s">
        <v>219</v>
      </c>
      <c r="O10" s="72" t="s">
        <v>216</v>
      </c>
    </row>
    <row r="11" ht="19.5" customHeight="1" spans="1:15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76" t="s">
        <v>220</v>
      </c>
      <c r="O11" s="77"/>
    </row>
    <row r="12" ht="15.75" customHeight="1"/>
    <row r="13" ht="19.5" customHeight="1" spans="1:15">
      <c r="A13" s="47" t="s">
        <v>221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78"/>
    </row>
    <row r="14" ht="19.5" customHeight="1" spans="1:15">
      <c r="A14" s="49" t="s">
        <v>222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79"/>
    </row>
    <row r="15" ht="15.75" customHeight="1" spans="1:1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80"/>
    </row>
    <row r="16" ht="15.75" customHeight="1" spans="1:15">
      <c r="A16" s="51" t="s">
        <v>67</v>
      </c>
      <c r="B16" s="52" t="s">
        <v>68</v>
      </c>
      <c r="C16" s="52" t="s">
        <v>69</v>
      </c>
      <c r="D16" s="52" t="s">
        <v>70</v>
      </c>
      <c r="E16" s="52" t="s">
        <v>210</v>
      </c>
      <c r="F16" s="23"/>
      <c r="G16" s="52" t="s">
        <v>211</v>
      </c>
      <c r="H16" s="52" t="s">
        <v>73</v>
      </c>
      <c r="I16" s="52" t="s">
        <v>74</v>
      </c>
      <c r="J16" s="52" t="s">
        <v>75</v>
      </c>
      <c r="K16" s="52" t="s">
        <v>76</v>
      </c>
      <c r="L16" s="52" t="s">
        <v>77</v>
      </c>
      <c r="M16" s="52" t="s">
        <v>78</v>
      </c>
      <c r="N16" s="52" t="s">
        <v>79</v>
      </c>
      <c r="O16" s="81" t="s">
        <v>80</v>
      </c>
    </row>
    <row r="17" ht="15.75" customHeight="1" spans="1:15">
      <c r="A17" s="40"/>
      <c r="B17" s="7"/>
      <c r="C17" s="7"/>
      <c r="D17" s="7"/>
      <c r="E17" s="38" t="s">
        <v>81</v>
      </c>
      <c r="F17" s="38" t="s">
        <v>82</v>
      </c>
      <c r="G17" s="7"/>
      <c r="H17" s="7"/>
      <c r="I17" s="7"/>
      <c r="J17" s="7"/>
      <c r="K17" s="7"/>
      <c r="L17" s="7"/>
      <c r="M17" s="7"/>
      <c r="N17" s="7"/>
      <c r="O17" s="70"/>
    </row>
    <row r="18" ht="30" customHeight="1" spans="1:15">
      <c r="A18" s="2">
        <v>1</v>
      </c>
      <c r="B18" s="3">
        <v>0.0847222222222222</v>
      </c>
      <c r="C18" s="4" t="s">
        <v>39</v>
      </c>
      <c r="D18" s="5" t="s">
        <v>223</v>
      </c>
      <c r="E18" s="5"/>
      <c r="F18" s="5"/>
      <c r="G18" s="5"/>
      <c r="H18" s="5" t="s">
        <v>131</v>
      </c>
      <c r="I18" s="5">
        <v>1</v>
      </c>
      <c r="J18" s="5" t="s">
        <v>224</v>
      </c>
      <c r="K18" s="5">
        <v>1</v>
      </c>
      <c r="L18" s="12" t="s">
        <v>92</v>
      </c>
      <c r="M18" s="82" t="s">
        <v>225</v>
      </c>
      <c r="N18" s="83" t="s">
        <v>87</v>
      </c>
      <c r="O18" s="5"/>
    </row>
    <row r="19" ht="45" customHeight="1" spans="1:15">
      <c r="A19" s="2">
        <v>2</v>
      </c>
      <c r="B19" s="3">
        <v>0.456944444444444</v>
      </c>
      <c r="C19" s="4" t="s">
        <v>50</v>
      </c>
      <c r="D19" s="5" t="s">
        <v>226</v>
      </c>
      <c r="E19" s="5"/>
      <c r="F19" s="5"/>
      <c r="G19" s="5"/>
      <c r="H19" s="5" t="s">
        <v>101</v>
      </c>
      <c r="I19" s="5">
        <v>1</v>
      </c>
      <c r="J19" s="5" t="s">
        <v>227</v>
      </c>
      <c r="K19" s="5">
        <v>2</v>
      </c>
      <c r="L19" s="12" t="s">
        <v>228</v>
      </c>
      <c r="M19" s="82" t="s">
        <v>225</v>
      </c>
      <c r="N19" s="83" t="s">
        <v>87</v>
      </c>
      <c r="O19" s="5"/>
    </row>
    <row r="20" ht="45" customHeight="1" spans="1:15">
      <c r="A20" s="2">
        <v>3</v>
      </c>
      <c r="B20" s="3">
        <v>0.498611111111111</v>
      </c>
      <c r="C20" s="4" t="s">
        <v>50</v>
      </c>
      <c r="D20" s="5" t="s">
        <v>229</v>
      </c>
      <c r="E20" s="5"/>
      <c r="F20" s="5"/>
      <c r="G20" s="5"/>
      <c r="H20" s="5" t="s">
        <v>134</v>
      </c>
      <c r="I20" s="5">
        <v>2</v>
      </c>
      <c r="J20" s="5" t="s">
        <v>230</v>
      </c>
      <c r="K20" s="5">
        <v>2</v>
      </c>
      <c r="L20" s="12" t="s">
        <v>228</v>
      </c>
      <c r="M20" s="82" t="s">
        <v>225</v>
      </c>
      <c r="N20" s="83" t="s">
        <v>87</v>
      </c>
      <c r="O20" s="5"/>
    </row>
    <row r="21" ht="15.75" customHeight="1" spans="1:15">
      <c r="A21" s="2">
        <v>4</v>
      </c>
      <c r="B21" s="3">
        <v>0.0847222222222222</v>
      </c>
      <c r="C21" s="4" t="s">
        <v>43</v>
      </c>
      <c r="D21" s="5" t="s">
        <v>231</v>
      </c>
      <c r="E21" s="5"/>
      <c r="F21" s="5"/>
      <c r="G21" s="5"/>
      <c r="H21" s="5" t="s">
        <v>132</v>
      </c>
      <c r="I21" s="5">
        <v>1</v>
      </c>
      <c r="J21" s="5" t="s">
        <v>224</v>
      </c>
      <c r="K21" s="5">
        <v>1</v>
      </c>
      <c r="L21" s="12" t="s">
        <v>92</v>
      </c>
      <c r="M21" s="82" t="s">
        <v>225</v>
      </c>
      <c r="N21" s="83" t="s">
        <v>87</v>
      </c>
      <c r="O21" s="5"/>
    </row>
    <row r="22" ht="19.5" spans="1:15">
      <c r="A22" s="53" t="s">
        <v>232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78"/>
    </row>
    <row r="23" ht="15.75" customHeight="1" spans="1:15">
      <c r="A23" s="51" t="s">
        <v>67</v>
      </c>
      <c r="B23" s="52" t="s">
        <v>68</v>
      </c>
      <c r="C23" s="52" t="s">
        <v>69</v>
      </c>
      <c r="D23" s="52" t="s">
        <v>70</v>
      </c>
      <c r="E23" s="52" t="s">
        <v>210</v>
      </c>
      <c r="F23" s="23"/>
      <c r="G23" s="52" t="s">
        <v>211</v>
      </c>
      <c r="H23" s="52" t="s">
        <v>73</v>
      </c>
      <c r="I23" s="52" t="s">
        <v>74</v>
      </c>
      <c r="J23" s="52" t="s">
        <v>75</v>
      </c>
      <c r="K23" s="52" t="s">
        <v>76</v>
      </c>
      <c r="L23" s="52" t="s">
        <v>77</v>
      </c>
      <c r="M23" s="52" t="s">
        <v>78</v>
      </c>
      <c r="N23" s="52" t="s">
        <v>79</v>
      </c>
      <c r="O23" s="81" t="s">
        <v>80</v>
      </c>
    </row>
    <row r="24" ht="15.75" customHeight="1" spans="1:15">
      <c r="A24" s="40"/>
      <c r="B24" s="7"/>
      <c r="C24" s="7"/>
      <c r="D24" s="7"/>
      <c r="E24" s="38" t="s">
        <v>81</v>
      </c>
      <c r="F24" s="38" t="s">
        <v>82</v>
      </c>
      <c r="G24" s="7"/>
      <c r="H24" s="7"/>
      <c r="I24" s="7"/>
      <c r="J24" s="7"/>
      <c r="K24" s="7"/>
      <c r="L24" s="7"/>
      <c r="M24" s="7"/>
      <c r="N24" s="7"/>
      <c r="O24" s="70"/>
    </row>
    <row r="25" ht="45" customHeight="1" spans="1:15">
      <c r="A25" s="2">
        <v>1</v>
      </c>
      <c r="B25" s="3">
        <v>0.498611111111111</v>
      </c>
      <c r="C25" s="4" t="s">
        <v>50</v>
      </c>
      <c r="D25" s="5" t="s">
        <v>233</v>
      </c>
      <c r="E25" s="5"/>
      <c r="F25" s="5"/>
      <c r="G25" s="5"/>
      <c r="H25" s="5" t="s">
        <v>90</v>
      </c>
      <c r="I25" s="5">
        <v>2</v>
      </c>
      <c r="J25" s="5" t="s">
        <v>234</v>
      </c>
      <c r="K25" s="5">
        <v>3</v>
      </c>
      <c r="L25" s="12" t="s">
        <v>228</v>
      </c>
      <c r="M25" s="82" t="s">
        <v>225</v>
      </c>
      <c r="N25" s="83" t="s">
        <v>235</v>
      </c>
      <c r="O25" s="5"/>
    </row>
    <row r="26" ht="90.75" customHeight="1" spans="1:15">
      <c r="A26" s="54">
        <v>2</v>
      </c>
      <c r="B26" s="55">
        <v>0.540277777777778</v>
      </c>
      <c r="C26" s="56" t="s">
        <v>50</v>
      </c>
      <c r="D26" s="57" t="s">
        <v>236</v>
      </c>
      <c r="E26" s="57"/>
      <c r="F26" s="57"/>
      <c r="G26" s="57"/>
      <c r="H26" s="57" t="s">
        <v>90</v>
      </c>
      <c r="I26" s="57">
        <v>3</v>
      </c>
      <c r="J26" s="57" t="s">
        <v>237</v>
      </c>
      <c r="K26" s="57">
        <v>4</v>
      </c>
      <c r="L26" s="84" t="s">
        <v>228</v>
      </c>
      <c r="M26" s="85" t="s">
        <v>225</v>
      </c>
      <c r="N26" s="86" t="s">
        <v>235</v>
      </c>
      <c r="O26" s="57"/>
    </row>
    <row r="27" ht="21.75" customHeight="1" spans="1:15">
      <c r="A27" s="58" t="s">
        <v>238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78"/>
    </row>
    <row r="28" ht="15.75" customHeight="1" spans="1:15">
      <c r="A28" s="51" t="s">
        <v>67</v>
      </c>
      <c r="B28" s="52" t="s">
        <v>68</v>
      </c>
      <c r="C28" s="52" t="s">
        <v>69</v>
      </c>
      <c r="D28" s="52" t="s">
        <v>70</v>
      </c>
      <c r="E28" s="52" t="s">
        <v>210</v>
      </c>
      <c r="F28" s="23"/>
      <c r="G28" s="52" t="s">
        <v>211</v>
      </c>
      <c r="H28" s="52" t="s">
        <v>73</v>
      </c>
      <c r="I28" s="52" t="s">
        <v>74</v>
      </c>
      <c r="J28" s="52" t="s">
        <v>75</v>
      </c>
      <c r="K28" s="52" t="s">
        <v>76</v>
      </c>
      <c r="L28" s="52" t="s">
        <v>77</v>
      </c>
      <c r="M28" s="52" t="s">
        <v>78</v>
      </c>
      <c r="N28" s="52" t="s">
        <v>79</v>
      </c>
      <c r="O28" s="81" t="s">
        <v>80</v>
      </c>
    </row>
    <row r="29" ht="15.75" customHeight="1" spans="1:15">
      <c r="A29" s="40"/>
      <c r="B29" s="7"/>
      <c r="C29" s="7"/>
      <c r="D29" s="7"/>
      <c r="E29" s="38" t="s">
        <v>81</v>
      </c>
      <c r="F29" s="38" t="s">
        <v>82</v>
      </c>
      <c r="G29" s="7"/>
      <c r="H29" s="7"/>
      <c r="I29" s="7"/>
      <c r="J29" s="7"/>
      <c r="K29" s="7"/>
      <c r="L29" s="7"/>
      <c r="M29" s="7"/>
      <c r="N29" s="7"/>
      <c r="O29" s="70"/>
    </row>
    <row r="30" ht="30" customHeight="1" spans="1:15">
      <c r="A30" s="2">
        <v>1</v>
      </c>
      <c r="B30" s="3">
        <v>0.0847222222222222</v>
      </c>
      <c r="C30" s="4" t="s">
        <v>39</v>
      </c>
      <c r="D30" s="5" t="s">
        <v>223</v>
      </c>
      <c r="E30" s="5"/>
      <c r="F30" s="5"/>
      <c r="G30" s="5"/>
      <c r="H30" s="5" t="s">
        <v>131</v>
      </c>
      <c r="I30" s="5">
        <v>1</v>
      </c>
      <c r="J30" s="5" t="s">
        <v>224</v>
      </c>
      <c r="K30" s="5">
        <v>1</v>
      </c>
      <c r="L30" s="12" t="s">
        <v>92</v>
      </c>
      <c r="M30" s="5" t="s">
        <v>225</v>
      </c>
      <c r="N30" s="2" t="s">
        <v>87</v>
      </c>
      <c r="O30" s="5"/>
    </row>
    <row r="31" ht="30.75" customHeight="1" spans="1:15">
      <c r="A31" s="2">
        <v>2</v>
      </c>
      <c r="B31" s="3">
        <v>0.126388888888889</v>
      </c>
      <c r="C31" s="4" t="s">
        <v>39</v>
      </c>
      <c r="D31" s="5" t="s">
        <v>223</v>
      </c>
      <c r="E31" s="5"/>
      <c r="F31" s="5"/>
      <c r="G31" s="5"/>
      <c r="H31" s="5" t="s">
        <v>239</v>
      </c>
      <c r="I31" s="5">
        <v>2</v>
      </c>
      <c r="J31" s="5" t="s">
        <v>224</v>
      </c>
      <c r="K31" s="5">
        <v>2</v>
      </c>
      <c r="L31" s="12" t="s">
        <v>92</v>
      </c>
      <c r="M31" s="5" t="s">
        <v>240</v>
      </c>
      <c r="N31" s="2" t="s">
        <v>87</v>
      </c>
      <c r="O31" s="5"/>
    </row>
    <row r="32" ht="21.75" customHeight="1" spans="1:15">
      <c r="A32" s="59" t="s">
        <v>241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78"/>
    </row>
    <row r="33" ht="15.75" customHeight="1" spans="1:15">
      <c r="A33" s="51" t="s">
        <v>67</v>
      </c>
      <c r="B33" s="52" t="s">
        <v>68</v>
      </c>
      <c r="C33" s="52" t="s">
        <v>69</v>
      </c>
      <c r="D33" s="52" t="s">
        <v>70</v>
      </c>
      <c r="E33" s="52" t="s">
        <v>210</v>
      </c>
      <c r="F33" s="23"/>
      <c r="G33" s="52" t="s">
        <v>211</v>
      </c>
      <c r="H33" s="52" t="s">
        <v>73</v>
      </c>
      <c r="I33" s="52" t="s">
        <v>74</v>
      </c>
      <c r="J33" s="52" t="s">
        <v>75</v>
      </c>
      <c r="K33" s="52" t="s">
        <v>76</v>
      </c>
      <c r="L33" s="52" t="s">
        <v>77</v>
      </c>
      <c r="M33" s="52" t="s">
        <v>78</v>
      </c>
      <c r="N33" s="52" t="s">
        <v>79</v>
      </c>
      <c r="O33" s="81" t="s">
        <v>80</v>
      </c>
    </row>
    <row r="34" ht="15.75" customHeight="1" spans="1:15">
      <c r="A34" s="40"/>
      <c r="B34" s="7"/>
      <c r="C34" s="7"/>
      <c r="D34" s="7"/>
      <c r="E34" s="38" t="s">
        <v>81</v>
      </c>
      <c r="F34" s="38" t="s">
        <v>82</v>
      </c>
      <c r="G34" s="7"/>
      <c r="H34" s="7"/>
      <c r="I34" s="7"/>
      <c r="J34" s="7"/>
      <c r="K34" s="7"/>
      <c r="L34" s="7"/>
      <c r="M34" s="7"/>
      <c r="N34" s="7"/>
      <c r="O34" s="70"/>
    </row>
    <row r="35" ht="30" customHeight="1" spans="1:15">
      <c r="A35" s="2">
        <v>1</v>
      </c>
      <c r="B35" s="3">
        <v>0.0847222222222222</v>
      </c>
      <c r="C35" s="4" t="s">
        <v>39</v>
      </c>
      <c r="D35" s="5" t="s">
        <v>223</v>
      </c>
      <c r="E35" s="5"/>
      <c r="F35" s="5"/>
      <c r="G35" s="5"/>
      <c r="H35" s="5" t="s">
        <v>131</v>
      </c>
      <c r="I35" s="5">
        <v>1</v>
      </c>
      <c r="J35" s="5" t="s">
        <v>224</v>
      </c>
      <c r="K35" s="5">
        <v>1</v>
      </c>
      <c r="L35" s="12" t="s">
        <v>92</v>
      </c>
      <c r="M35" s="5" t="s">
        <v>225</v>
      </c>
      <c r="N35" s="2" t="s">
        <v>87</v>
      </c>
      <c r="O35" s="5"/>
    </row>
    <row r="36" ht="75.75" customHeight="1" spans="1:15">
      <c r="A36" s="54">
        <v>2</v>
      </c>
      <c r="B36" s="55">
        <v>0.126388888888889</v>
      </c>
      <c r="C36" s="56" t="s">
        <v>39</v>
      </c>
      <c r="D36" s="5" t="s">
        <v>223</v>
      </c>
      <c r="E36" s="57" t="s">
        <v>71</v>
      </c>
      <c r="F36" s="57" t="s">
        <v>71</v>
      </c>
      <c r="G36" s="57"/>
      <c r="H36" s="57" t="s">
        <v>239</v>
      </c>
      <c r="I36" s="57">
        <v>2</v>
      </c>
      <c r="J36" s="57" t="s">
        <v>224</v>
      </c>
      <c r="K36" s="57">
        <v>2</v>
      </c>
      <c r="L36" s="84" t="s">
        <v>92</v>
      </c>
      <c r="M36" s="57" t="s">
        <v>104</v>
      </c>
      <c r="N36" s="54" t="s">
        <v>87</v>
      </c>
      <c r="O36" s="57"/>
    </row>
    <row r="37" ht="21.75" customHeight="1" spans="1:15">
      <c r="A37" s="58" t="s">
        <v>242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78"/>
    </row>
    <row r="38" ht="15.75" customHeight="1" spans="1:15">
      <c r="A38" s="60" t="s">
        <v>67</v>
      </c>
      <c r="B38" s="61" t="s">
        <v>68</v>
      </c>
      <c r="C38" s="61" t="s">
        <v>69</v>
      </c>
      <c r="D38" s="61" t="s">
        <v>70</v>
      </c>
      <c r="E38" s="61" t="s">
        <v>210</v>
      </c>
      <c r="F38" s="62"/>
      <c r="G38" s="61" t="s">
        <v>211</v>
      </c>
      <c r="H38" s="61" t="s">
        <v>73</v>
      </c>
      <c r="I38" s="61" t="s">
        <v>74</v>
      </c>
      <c r="J38" s="61" t="s">
        <v>75</v>
      </c>
      <c r="K38" s="61" t="s">
        <v>76</v>
      </c>
      <c r="L38" s="61" t="s">
        <v>77</v>
      </c>
      <c r="M38" s="61" t="s">
        <v>78</v>
      </c>
      <c r="N38" s="61" t="s">
        <v>79</v>
      </c>
      <c r="O38" s="87" t="s">
        <v>80</v>
      </c>
    </row>
    <row r="39" ht="15.75" customHeight="1" spans="1:15">
      <c r="A39" s="40"/>
      <c r="B39" s="7"/>
      <c r="C39" s="7"/>
      <c r="D39" s="7"/>
      <c r="E39" s="38" t="s">
        <v>81</v>
      </c>
      <c r="F39" s="38" t="s">
        <v>82</v>
      </c>
      <c r="G39" s="7"/>
      <c r="H39" s="7"/>
      <c r="I39" s="7"/>
      <c r="J39" s="7"/>
      <c r="K39" s="7"/>
      <c r="L39" s="7"/>
      <c r="M39" s="7"/>
      <c r="N39" s="7"/>
      <c r="O39" s="70"/>
    </row>
    <row r="40" ht="75" customHeight="1" spans="1:15">
      <c r="A40" s="63">
        <v>1</v>
      </c>
      <c r="B40" s="55">
        <v>0.0847222222222222</v>
      </c>
      <c r="C40" s="56" t="s">
        <v>39</v>
      </c>
      <c r="D40" s="5" t="s">
        <v>243</v>
      </c>
      <c r="E40" s="57" t="s">
        <v>71</v>
      </c>
      <c r="F40" s="57" t="s">
        <v>71</v>
      </c>
      <c r="G40" s="57"/>
      <c r="H40" s="57" t="s">
        <v>131</v>
      </c>
      <c r="I40" s="57">
        <v>1</v>
      </c>
      <c r="J40" s="57" t="s">
        <v>224</v>
      </c>
      <c r="K40" s="57">
        <v>1</v>
      </c>
      <c r="L40" s="84" t="s">
        <v>92</v>
      </c>
      <c r="M40" s="57" t="s">
        <v>104</v>
      </c>
      <c r="N40" s="54" t="s">
        <v>87</v>
      </c>
      <c r="O40" s="88"/>
    </row>
    <row r="41" ht="75.75" customHeight="1" spans="1:15">
      <c r="A41" s="64">
        <v>2</v>
      </c>
      <c r="B41" s="65">
        <v>0.126388888888889</v>
      </c>
      <c r="C41" s="66" t="s">
        <v>43</v>
      </c>
      <c r="D41" s="67" t="s">
        <v>45</v>
      </c>
      <c r="E41" s="67" t="s">
        <v>71</v>
      </c>
      <c r="F41" s="67" t="s">
        <v>71</v>
      </c>
      <c r="G41" s="67"/>
      <c r="H41" s="67" t="s">
        <v>239</v>
      </c>
      <c r="I41" s="67">
        <v>2</v>
      </c>
      <c r="J41" s="67" t="s">
        <v>224</v>
      </c>
      <c r="K41" s="67">
        <v>2</v>
      </c>
      <c r="L41" s="89" t="s">
        <v>92</v>
      </c>
      <c r="M41" s="67" t="s">
        <v>104</v>
      </c>
      <c r="N41" s="90" t="s">
        <v>87</v>
      </c>
      <c r="O41" s="91"/>
    </row>
  </sheetData>
  <mergeCells count="106">
    <mergeCell ref="A2:O2"/>
    <mergeCell ref="E3:F3"/>
    <mergeCell ref="A7:O7"/>
    <mergeCell ref="E8:F8"/>
    <mergeCell ref="A13:O13"/>
    <mergeCell ref="E16:F16"/>
    <mergeCell ref="A22:O22"/>
    <mergeCell ref="E23:F23"/>
    <mergeCell ref="A27:O27"/>
    <mergeCell ref="E28:F28"/>
    <mergeCell ref="A32:O32"/>
    <mergeCell ref="E33:F33"/>
    <mergeCell ref="A37:O37"/>
    <mergeCell ref="E38:F38"/>
    <mergeCell ref="A3:A4"/>
    <mergeCell ref="A8:A9"/>
    <mergeCell ref="A16:A17"/>
    <mergeCell ref="A23:A24"/>
    <mergeCell ref="A28:A29"/>
    <mergeCell ref="A33:A34"/>
    <mergeCell ref="A38:A39"/>
    <mergeCell ref="B3:B4"/>
    <mergeCell ref="B8:B9"/>
    <mergeCell ref="B16:B17"/>
    <mergeCell ref="B23:B24"/>
    <mergeCell ref="B28:B29"/>
    <mergeCell ref="B33:B34"/>
    <mergeCell ref="B38:B39"/>
    <mergeCell ref="C3:C4"/>
    <mergeCell ref="C8:C9"/>
    <mergeCell ref="C16:C17"/>
    <mergeCell ref="C23:C24"/>
    <mergeCell ref="C28:C29"/>
    <mergeCell ref="C33:C34"/>
    <mergeCell ref="C38:C39"/>
    <mergeCell ref="D3:D4"/>
    <mergeCell ref="D8:D9"/>
    <mergeCell ref="D16:D17"/>
    <mergeCell ref="D23:D24"/>
    <mergeCell ref="D28:D29"/>
    <mergeCell ref="D33:D34"/>
    <mergeCell ref="D38:D39"/>
    <mergeCell ref="G3:G4"/>
    <mergeCell ref="G8:G9"/>
    <mergeCell ref="G16:G17"/>
    <mergeCell ref="G23:G24"/>
    <mergeCell ref="G28:G29"/>
    <mergeCell ref="G33:G34"/>
    <mergeCell ref="G38:G39"/>
    <mergeCell ref="H3:H4"/>
    <mergeCell ref="H8:H9"/>
    <mergeCell ref="H16:H17"/>
    <mergeCell ref="H23:H24"/>
    <mergeCell ref="H28:H29"/>
    <mergeCell ref="H33:H34"/>
    <mergeCell ref="H38:H39"/>
    <mergeCell ref="I3:I4"/>
    <mergeCell ref="I8:I9"/>
    <mergeCell ref="I16:I17"/>
    <mergeCell ref="I23:I24"/>
    <mergeCell ref="I28:I29"/>
    <mergeCell ref="I33:I34"/>
    <mergeCell ref="I38:I39"/>
    <mergeCell ref="J3:J4"/>
    <mergeCell ref="J8:J9"/>
    <mergeCell ref="J16:J17"/>
    <mergeCell ref="J23:J24"/>
    <mergeCell ref="J28:J29"/>
    <mergeCell ref="J33:J34"/>
    <mergeCell ref="J38:J39"/>
    <mergeCell ref="K3:K4"/>
    <mergeCell ref="K8:K9"/>
    <mergeCell ref="K16:K17"/>
    <mergeCell ref="K23:K24"/>
    <mergeCell ref="K28:K29"/>
    <mergeCell ref="K33:K34"/>
    <mergeCell ref="K38:K39"/>
    <mergeCell ref="L3:L4"/>
    <mergeCell ref="L8:L9"/>
    <mergeCell ref="L16:L17"/>
    <mergeCell ref="L23:L24"/>
    <mergeCell ref="L28:L29"/>
    <mergeCell ref="L33:L34"/>
    <mergeCell ref="L38:L39"/>
    <mergeCell ref="M3:M4"/>
    <mergeCell ref="M8:M9"/>
    <mergeCell ref="M16:M17"/>
    <mergeCell ref="M23:M24"/>
    <mergeCell ref="M28:M29"/>
    <mergeCell ref="M33:M34"/>
    <mergeCell ref="M38:M39"/>
    <mergeCell ref="N3:N4"/>
    <mergeCell ref="N8:N9"/>
    <mergeCell ref="N16:N17"/>
    <mergeCell ref="N23:N24"/>
    <mergeCell ref="N28:N29"/>
    <mergeCell ref="N33:N34"/>
    <mergeCell ref="N38:N39"/>
    <mergeCell ref="O3:O4"/>
    <mergeCell ref="O8:O9"/>
    <mergeCell ref="O16:O17"/>
    <mergeCell ref="O23:O24"/>
    <mergeCell ref="O28:O29"/>
    <mergeCell ref="O33:O34"/>
    <mergeCell ref="O38:O39"/>
    <mergeCell ref="A14:O15"/>
  </mergeCells>
  <dataValidations count="4">
    <dataValidation type="list" allowBlank="1" showInputMessage="1" showErrorMessage="1" sqref="C5 C10 C18:C21 C25:C26 C30:C31 C35:C36 C40:C41">
      <formula1>характер</formula1>
    </dataValidation>
    <dataValidation type="list" allowBlank="1" showInputMessage="1" showErrorMessage="1" sqref="H5 H10 H18:H21 H25:H26 H30:H31 H35:H36 H40:H41">
      <formula1>дроны</formula1>
    </dataValidation>
    <dataValidation type="list" allowBlank="1" showInputMessage="1" showErrorMessage="1" sqref="J5 J10 J18:J21 J25:J26 J30:J31 J35:J36 J40:J41">
      <formula1>бп</formula1>
    </dataValidation>
    <dataValidation type="list" allowBlank="1" showInputMessage="1" showErrorMessage="1" sqref="M5 M10 M18:M21 M25:M26 M30:M31 M35:M36 M40:M41">
      <formula1>цель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8"/>
  <sheetViews>
    <sheetView zoomScale="85" zoomScaleNormal="85" topLeftCell="A7" workbookViewId="0">
      <selection activeCell="E23" sqref="E23"/>
    </sheetView>
  </sheetViews>
  <sheetFormatPr defaultColWidth="9" defaultRowHeight="15"/>
  <cols>
    <col min="1" max="1" width="20.2857142857143" customWidth="1"/>
    <col min="3" max="3" width="43.2857142857143" customWidth="1"/>
    <col min="5" max="5" width="26.2857142857143" customWidth="1"/>
    <col min="7" max="7" width="19.1428571428571" customWidth="1"/>
    <col min="8" max="8" width="15.1428571428571" customWidth="1"/>
    <col min="9" max="9" width="19.2857142857143" customWidth="1"/>
    <col min="10" max="10" width="16.2857142857143" customWidth="1"/>
    <col min="11" max="11" width="13.5714285714286" customWidth="1"/>
    <col min="13" max="13" width="16.2857142857143" customWidth="1"/>
  </cols>
  <sheetData>
    <row r="2" ht="18" customHeight="1" spans="1:13">
      <c r="A2" s="24" t="s">
        <v>244</v>
      </c>
      <c r="C2" s="24" t="s">
        <v>245</v>
      </c>
      <c r="E2" s="24" t="s">
        <v>246</v>
      </c>
      <c r="G2" s="24" t="s">
        <v>247</v>
      </c>
      <c r="I2" s="32" t="s">
        <v>248</v>
      </c>
      <c r="K2" s="32" t="s">
        <v>249</v>
      </c>
      <c r="M2" s="32" t="s">
        <v>250</v>
      </c>
    </row>
    <row r="3" ht="18.75" customHeight="1" spans="1:13">
      <c r="A3" s="25" t="s">
        <v>251</v>
      </c>
      <c r="C3" s="25" t="s">
        <v>251</v>
      </c>
      <c r="E3" s="25" t="s">
        <v>251</v>
      </c>
      <c r="G3" s="25" t="s">
        <v>251</v>
      </c>
      <c r="I3" s="25" t="s">
        <v>251</v>
      </c>
      <c r="K3" s="33" t="s">
        <v>251</v>
      </c>
      <c r="M3" s="33" t="s">
        <v>251</v>
      </c>
    </row>
    <row r="4" ht="18.75" customHeight="1" spans="1:13">
      <c r="A4" s="25" t="s">
        <v>19</v>
      </c>
      <c r="C4" s="25" t="s">
        <v>26</v>
      </c>
      <c r="E4" s="25" t="s">
        <v>129</v>
      </c>
      <c r="G4" s="25" t="s">
        <v>252</v>
      </c>
      <c r="I4" s="25" t="s">
        <v>8</v>
      </c>
      <c r="K4" s="34" t="s">
        <v>253</v>
      </c>
      <c r="M4" s="34" t="s">
        <v>104</v>
      </c>
    </row>
    <row r="5" ht="18.75" customHeight="1" spans="1:11">
      <c r="A5" s="25" t="s">
        <v>254</v>
      </c>
      <c r="C5" s="25" t="s">
        <v>27</v>
      </c>
      <c r="E5" s="25" t="s">
        <v>130</v>
      </c>
      <c r="G5" s="25" t="s">
        <v>255</v>
      </c>
      <c r="I5" s="25" t="s">
        <v>12</v>
      </c>
      <c r="K5" s="34" t="s">
        <v>105</v>
      </c>
    </row>
    <row r="6" ht="18.75" customHeight="1" spans="1:11">
      <c r="A6" s="25" t="s">
        <v>11</v>
      </c>
      <c r="C6" s="25" t="s">
        <v>28</v>
      </c>
      <c r="E6" s="25" t="s">
        <v>131</v>
      </c>
      <c r="G6" s="25" t="s">
        <v>256</v>
      </c>
      <c r="I6" s="25" t="s">
        <v>15</v>
      </c>
      <c r="K6" s="34" t="s">
        <v>257</v>
      </c>
    </row>
    <row r="7" ht="18.75" customHeight="1" spans="1:9">
      <c r="A7" s="25" t="s">
        <v>258</v>
      </c>
      <c r="C7" s="25" t="s">
        <v>29</v>
      </c>
      <c r="E7" s="25" t="s">
        <v>132</v>
      </c>
      <c r="G7" s="25" t="s">
        <v>259</v>
      </c>
      <c r="I7" s="25" t="s">
        <v>18</v>
      </c>
    </row>
    <row r="8" ht="18.75" customHeight="1" spans="1:9">
      <c r="A8" s="25" t="s">
        <v>17</v>
      </c>
      <c r="C8" s="25" t="s">
        <v>30</v>
      </c>
      <c r="E8" s="26" t="s">
        <v>260</v>
      </c>
      <c r="G8" s="25" t="s">
        <v>261</v>
      </c>
      <c r="I8" s="25" t="s">
        <v>10</v>
      </c>
    </row>
    <row r="9" ht="18.75" customHeight="1" spans="1:9">
      <c r="A9" s="25" t="s">
        <v>262</v>
      </c>
      <c r="C9" s="25" t="s">
        <v>31</v>
      </c>
      <c r="E9" s="26" t="s">
        <v>134</v>
      </c>
      <c r="G9" s="25" t="s">
        <v>263</v>
      </c>
      <c r="I9" s="25" t="s">
        <v>14</v>
      </c>
    </row>
    <row r="10" ht="18.75" customHeight="1" spans="1:9">
      <c r="A10" s="25" t="s">
        <v>13</v>
      </c>
      <c r="C10" s="25" t="s">
        <v>32</v>
      </c>
      <c r="E10" s="26" t="s">
        <v>135</v>
      </c>
      <c r="G10" s="25" t="s">
        <v>264</v>
      </c>
      <c r="I10" s="25" t="s">
        <v>16</v>
      </c>
    </row>
    <row r="11" ht="18.75" customHeight="1" spans="1:9">
      <c r="A11" s="25" t="s">
        <v>265</v>
      </c>
      <c r="C11" s="25" t="s">
        <v>33</v>
      </c>
      <c r="E11" s="26" t="s">
        <v>136</v>
      </c>
      <c r="G11" s="25" t="s">
        <v>266</v>
      </c>
      <c r="I11" s="25" t="s">
        <v>267</v>
      </c>
    </row>
    <row r="12" ht="18.75" customHeight="1" spans="1:9">
      <c r="A12" s="25" t="s">
        <v>268</v>
      </c>
      <c r="C12" s="25" t="s">
        <v>34</v>
      </c>
      <c r="E12" s="26" t="s">
        <v>137</v>
      </c>
      <c r="G12" s="25" t="s">
        <v>269</v>
      </c>
      <c r="I12" s="25" t="s">
        <v>20</v>
      </c>
    </row>
    <row r="13" ht="18.75" customHeight="1" spans="1:9">
      <c r="A13" s="25" t="s">
        <v>270</v>
      </c>
      <c r="C13" s="25" t="s">
        <v>35</v>
      </c>
      <c r="E13" s="26" t="s">
        <v>138</v>
      </c>
      <c r="G13" s="25" t="s">
        <v>271</v>
      </c>
      <c r="I13" s="25" t="s">
        <v>21</v>
      </c>
    </row>
    <row r="14" ht="18.75" customHeight="1" spans="1:9">
      <c r="A14" s="25" t="s">
        <v>272</v>
      </c>
      <c r="C14" s="25" t="s">
        <v>36</v>
      </c>
      <c r="E14" s="26" t="s">
        <v>139</v>
      </c>
      <c r="G14" s="25" t="s">
        <v>273</v>
      </c>
      <c r="H14" s="25"/>
      <c r="I14" s="25"/>
    </row>
    <row r="15" ht="18.75" customHeight="1" spans="1:9">
      <c r="A15" s="25" t="s">
        <v>274</v>
      </c>
      <c r="C15" s="25" t="s">
        <v>37</v>
      </c>
      <c r="E15" s="26" t="s">
        <v>101</v>
      </c>
      <c r="G15" s="25" t="s">
        <v>275</v>
      </c>
      <c r="H15" s="25"/>
      <c r="I15" s="25"/>
    </row>
    <row r="16" ht="18.75" customHeight="1" spans="1:9">
      <c r="A16" s="25" t="s">
        <v>276</v>
      </c>
      <c r="C16" s="25" t="s">
        <v>38</v>
      </c>
      <c r="E16" s="26" t="s">
        <v>90</v>
      </c>
      <c r="G16" s="25" t="s">
        <v>277</v>
      </c>
      <c r="H16" s="25"/>
      <c r="I16" s="25"/>
    </row>
    <row r="17" ht="18.75" customHeight="1" spans="1:9">
      <c r="A17" s="25" t="s">
        <v>278</v>
      </c>
      <c r="C17" s="25" t="s">
        <v>39</v>
      </c>
      <c r="E17" s="26" t="s">
        <v>279</v>
      </c>
      <c r="G17" s="25" t="s">
        <v>280</v>
      </c>
      <c r="H17" s="25"/>
      <c r="I17" s="25"/>
    </row>
    <row r="18" ht="18.75" customHeight="1" spans="1:10">
      <c r="A18" s="25" t="s">
        <v>9</v>
      </c>
      <c r="C18" s="25" t="s">
        <v>40</v>
      </c>
      <c r="E18" s="26" t="s">
        <v>281</v>
      </c>
      <c r="G18" s="25" t="s">
        <v>282</v>
      </c>
      <c r="H18" s="25"/>
      <c r="I18" s="25"/>
      <c r="J18" s="25"/>
    </row>
    <row r="19" ht="18.75" customHeight="1" spans="1:10">
      <c r="A19" s="25" t="s">
        <v>283</v>
      </c>
      <c r="C19" s="25" t="s">
        <v>41</v>
      </c>
      <c r="E19" s="26" t="s">
        <v>284</v>
      </c>
      <c r="G19" s="25" t="s">
        <v>285</v>
      </c>
      <c r="H19" s="25"/>
      <c r="I19" s="25"/>
      <c r="J19" s="25"/>
    </row>
    <row r="20" ht="18.75" customHeight="1" spans="1:10">
      <c r="A20" s="25" t="s">
        <v>286</v>
      </c>
      <c r="C20" s="25" t="s">
        <v>42</v>
      </c>
      <c r="E20" s="26" t="s">
        <v>287</v>
      </c>
      <c r="G20" s="25" t="s">
        <v>288</v>
      </c>
      <c r="H20" s="25"/>
      <c r="I20" s="25"/>
      <c r="J20" s="25"/>
    </row>
    <row r="21" ht="18.75" customHeight="1" spans="1:10">
      <c r="A21" s="25" t="s">
        <v>289</v>
      </c>
      <c r="C21" s="25" t="s">
        <v>43</v>
      </c>
      <c r="E21" s="26" t="s">
        <v>143</v>
      </c>
      <c r="G21" s="25" t="s">
        <v>290</v>
      </c>
      <c r="H21" s="25"/>
      <c r="I21" s="25"/>
      <c r="J21" s="25"/>
    </row>
    <row r="22" ht="18.75" customHeight="1" spans="1:10">
      <c r="A22" s="25" t="s">
        <v>291</v>
      </c>
      <c r="C22" s="25" t="s">
        <v>44</v>
      </c>
      <c r="E22" s="25" t="s">
        <v>109</v>
      </c>
      <c r="G22" s="25" t="s">
        <v>224</v>
      </c>
      <c r="H22" s="25"/>
      <c r="I22" s="25"/>
      <c r="J22" s="25"/>
    </row>
    <row r="23" ht="18.75" customHeight="1" spans="1:10">
      <c r="A23" s="25" t="s">
        <v>292</v>
      </c>
      <c r="C23" s="25" t="s">
        <v>45</v>
      </c>
      <c r="G23" s="25" t="s">
        <v>293</v>
      </c>
      <c r="H23" s="25"/>
      <c r="I23" s="25"/>
      <c r="J23" s="25"/>
    </row>
    <row r="24" ht="18.75" customHeight="1" spans="1:10">
      <c r="A24" s="25" t="s">
        <v>294</v>
      </c>
      <c r="C24" s="25" t="s">
        <v>46</v>
      </c>
      <c r="G24" s="25" t="s">
        <v>295</v>
      </c>
      <c r="H24" s="25"/>
      <c r="I24" s="25"/>
      <c r="J24" s="25"/>
    </row>
    <row r="25" ht="18.75" customHeight="1" spans="1:10">
      <c r="A25" s="25" t="s">
        <v>296</v>
      </c>
      <c r="C25" s="25" t="s">
        <v>47</v>
      </c>
      <c r="G25" s="25" t="s">
        <v>214</v>
      </c>
      <c r="H25" s="25"/>
      <c r="I25" s="25"/>
      <c r="J25" s="25"/>
    </row>
    <row r="26" ht="18.75" customHeight="1" spans="1:10">
      <c r="A26" s="25" t="s">
        <v>297</v>
      </c>
      <c r="C26" s="25" t="s">
        <v>48</v>
      </c>
      <c r="G26" s="25" t="s">
        <v>298</v>
      </c>
      <c r="H26" s="25"/>
      <c r="I26" s="25"/>
      <c r="J26" s="25"/>
    </row>
    <row r="27" ht="18.75" customHeight="1" spans="1:10">
      <c r="A27" s="25" t="s">
        <v>299</v>
      </c>
      <c r="C27" s="25" t="s">
        <v>49</v>
      </c>
      <c r="G27" s="25" t="s">
        <v>300</v>
      </c>
      <c r="H27" s="25"/>
      <c r="I27" s="25"/>
      <c r="J27" s="25"/>
    </row>
    <row r="28" ht="18.75" customHeight="1" spans="1:10">
      <c r="A28" s="25" t="s">
        <v>301</v>
      </c>
      <c r="C28" s="25" t="s">
        <v>50</v>
      </c>
      <c r="G28" s="25" t="s">
        <v>302</v>
      </c>
      <c r="H28" s="25"/>
      <c r="I28" s="25"/>
      <c r="J28" s="25"/>
    </row>
    <row r="29" ht="18.75" customHeight="1" spans="1:10">
      <c r="A29" s="25" t="s">
        <v>303</v>
      </c>
      <c r="C29" s="25" t="s">
        <v>51</v>
      </c>
      <c r="G29" s="25" t="s">
        <v>227</v>
      </c>
      <c r="H29" s="25"/>
      <c r="I29" s="25"/>
      <c r="J29" s="25"/>
    </row>
    <row r="30" ht="18.75" customHeight="1" spans="1:10">
      <c r="A30" s="25" t="s">
        <v>304</v>
      </c>
      <c r="C30" s="25" t="s">
        <v>52</v>
      </c>
      <c r="G30" s="25" t="s">
        <v>305</v>
      </c>
      <c r="H30" s="25"/>
      <c r="I30" s="25"/>
      <c r="J30" s="25"/>
    </row>
    <row r="31" ht="18.75" customHeight="1" spans="1:7">
      <c r="A31" s="25" t="s">
        <v>306</v>
      </c>
      <c r="C31" s="25" t="s">
        <v>53</v>
      </c>
      <c r="G31" s="25" t="s">
        <v>307</v>
      </c>
    </row>
    <row r="32" ht="18.75" customHeight="1" spans="1:7">
      <c r="A32" s="25" t="s">
        <v>308</v>
      </c>
      <c r="C32" s="25" t="s">
        <v>54</v>
      </c>
      <c r="G32" s="25" t="s">
        <v>309</v>
      </c>
    </row>
    <row r="33" ht="18.75" customHeight="1" spans="1:7">
      <c r="A33" s="25" t="s">
        <v>310</v>
      </c>
      <c r="C33" s="25" t="s">
        <v>55</v>
      </c>
      <c r="F33" s="27"/>
      <c r="G33" s="25" t="s">
        <v>230</v>
      </c>
    </row>
    <row r="34" ht="18.75" customHeight="1" spans="1:7">
      <c r="A34" s="25" t="s">
        <v>311</v>
      </c>
      <c r="C34" s="25" t="s">
        <v>56</v>
      </c>
      <c r="F34" s="27"/>
      <c r="G34" s="25" t="s">
        <v>312</v>
      </c>
    </row>
    <row r="35" ht="18.75" customHeight="1" spans="1:7">
      <c r="A35" s="25" t="s">
        <v>313</v>
      </c>
      <c r="C35" s="25" t="s">
        <v>57</v>
      </c>
      <c r="G35" s="25" t="s">
        <v>314</v>
      </c>
    </row>
    <row r="36" ht="18.75" customHeight="1" spans="1:7">
      <c r="A36" s="25" t="s">
        <v>315</v>
      </c>
      <c r="C36" s="25"/>
      <c r="G36" s="25" t="s">
        <v>316</v>
      </c>
    </row>
    <row r="37" ht="18.75" customHeight="1" spans="1:7">
      <c r="A37" s="25" t="s">
        <v>317</v>
      </c>
      <c r="C37" s="25"/>
      <c r="G37" s="25" t="s">
        <v>318</v>
      </c>
    </row>
    <row r="38" ht="18.75" customHeight="1" spans="1:7">
      <c r="A38" s="25" t="s">
        <v>319</v>
      </c>
      <c r="C38" s="25"/>
      <c r="G38" s="25" t="s">
        <v>320</v>
      </c>
    </row>
    <row r="39" ht="18.75" customHeight="1" spans="1:7">
      <c r="A39" s="25" t="s">
        <v>321</v>
      </c>
      <c r="C39" s="25"/>
      <c r="G39" s="25" t="s">
        <v>322</v>
      </c>
    </row>
    <row r="40" ht="18.75" customHeight="1" spans="1:7">
      <c r="A40" s="25" t="s">
        <v>323</v>
      </c>
      <c r="C40" s="25"/>
      <c r="G40" s="25" t="s">
        <v>324</v>
      </c>
    </row>
    <row r="41" ht="18.75" customHeight="1" spans="1:7">
      <c r="A41" s="25" t="s">
        <v>325</v>
      </c>
      <c r="C41" s="25"/>
      <c r="G41" s="25" t="s">
        <v>326</v>
      </c>
    </row>
    <row r="42" ht="18.75" customHeight="1" spans="1:7">
      <c r="A42" s="25" t="s">
        <v>327</v>
      </c>
      <c r="C42" s="25"/>
      <c r="G42" s="25" t="s">
        <v>328</v>
      </c>
    </row>
    <row r="43" ht="18.75" customHeight="1" spans="1:7">
      <c r="A43" s="25" t="s">
        <v>329</v>
      </c>
      <c r="C43" s="25"/>
      <c r="G43" s="25" t="s">
        <v>330</v>
      </c>
    </row>
    <row r="44" ht="18.75" customHeight="1" spans="1:7">
      <c r="A44" s="25" t="s">
        <v>331</v>
      </c>
      <c r="C44" s="25"/>
      <c r="G44" s="25" t="s">
        <v>332</v>
      </c>
    </row>
    <row r="45" ht="18.75" customHeight="1" spans="1:7">
      <c r="A45" s="25" t="s">
        <v>333</v>
      </c>
      <c r="C45" s="25"/>
      <c r="G45" s="28" t="s">
        <v>334</v>
      </c>
    </row>
    <row r="46" ht="18.75" customHeight="1" spans="1:8">
      <c r="A46" s="25" t="s">
        <v>335</v>
      </c>
      <c r="C46" s="25"/>
      <c r="G46" s="29" t="s">
        <v>336</v>
      </c>
      <c r="H46" s="30"/>
    </row>
    <row r="47" ht="18.75" customHeight="1" spans="1:8">
      <c r="A47" s="25" t="s">
        <v>337</v>
      </c>
      <c r="C47" s="25"/>
      <c r="G47" s="29" t="s">
        <v>338</v>
      </c>
      <c r="H47" s="30"/>
    </row>
    <row r="48" ht="18.75" customHeight="1" spans="1:8">
      <c r="A48" s="25" t="s">
        <v>339</v>
      </c>
      <c r="C48" s="25"/>
      <c r="G48" s="29" t="s">
        <v>340</v>
      </c>
      <c r="H48" s="30"/>
    </row>
    <row r="49" ht="18.75" customHeight="1" spans="1:8">
      <c r="A49" s="25" t="s">
        <v>341</v>
      </c>
      <c r="C49" s="25"/>
      <c r="G49" s="29" t="s">
        <v>342</v>
      </c>
      <c r="H49" s="30"/>
    </row>
    <row r="50" ht="18.75" customHeight="1" spans="1:8">
      <c r="A50" s="25" t="s">
        <v>343</v>
      </c>
      <c r="C50" s="25"/>
      <c r="G50" s="29" t="s">
        <v>344</v>
      </c>
      <c r="H50" s="30"/>
    </row>
    <row r="51" ht="18.75" customHeight="1" spans="1:8">
      <c r="A51" s="25" t="s">
        <v>345</v>
      </c>
      <c r="C51" s="31"/>
      <c r="G51" s="29" t="s">
        <v>346</v>
      </c>
      <c r="H51" s="30"/>
    </row>
    <row r="52" ht="18.75" customHeight="1" spans="1:8">
      <c r="A52" s="25" t="s">
        <v>347</v>
      </c>
      <c r="C52" s="31"/>
      <c r="G52" s="29" t="s">
        <v>348</v>
      </c>
      <c r="H52" s="30"/>
    </row>
    <row r="53" ht="18.75" customHeight="1" spans="1:7">
      <c r="A53" s="25" t="s">
        <v>349</v>
      </c>
      <c r="C53" s="31"/>
      <c r="G53" s="28" t="s">
        <v>350</v>
      </c>
    </row>
    <row r="54" ht="18.75" customHeight="1" spans="1:7">
      <c r="A54" s="25" t="s">
        <v>351</v>
      </c>
      <c r="C54" s="31"/>
      <c r="G54" s="26" t="s">
        <v>352</v>
      </c>
    </row>
    <row r="55" ht="18.75" customHeight="1" spans="1:7">
      <c r="A55" s="25" t="s">
        <v>353</v>
      </c>
      <c r="C55" s="31"/>
      <c r="G55" s="26" t="s">
        <v>354</v>
      </c>
    </row>
    <row r="56" ht="18.75" customHeight="1" spans="1:7">
      <c r="A56" s="25" t="s">
        <v>355</v>
      </c>
      <c r="G56" s="26" t="s">
        <v>356</v>
      </c>
    </row>
    <row r="57" ht="18.75" customHeight="1" spans="1:7">
      <c r="A57" s="25" t="s">
        <v>357</v>
      </c>
      <c r="G57" s="26" t="s">
        <v>358</v>
      </c>
    </row>
    <row r="58" ht="18.75" customHeight="1" spans="1:1">
      <c r="A58" s="25" t="s">
        <v>359</v>
      </c>
    </row>
    <row r="59" ht="18.75" customHeight="1" spans="1:1">
      <c r="A59" s="25" t="s">
        <v>360</v>
      </c>
    </row>
    <row r="60" ht="18.75" customHeight="1" spans="1:1">
      <c r="A60" s="25" t="s">
        <v>361</v>
      </c>
    </row>
    <row r="61" ht="18.75" customHeight="1" spans="1:1">
      <c r="A61" s="25" t="s">
        <v>362</v>
      </c>
    </row>
    <row r="62" ht="18.75" customHeight="1" spans="1:1">
      <c r="A62" s="25" t="s">
        <v>363</v>
      </c>
    </row>
    <row r="63" ht="18.75" customHeight="1" spans="1:1">
      <c r="A63" s="25" t="s">
        <v>364</v>
      </c>
    </row>
    <row r="64" ht="18.75" customHeight="1" spans="1:1">
      <c r="A64" s="25" t="s">
        <v>365</v>
      </c>
    </row>
    <row r="65" ht="18.75" customHeight="1" spans="1:1">
      <c r="A65" s="25" t="s">
        <v>366</v>
      </c>
    </row>
    <row r="66" ht="18.75" customHeight="1" spans="1:1">
      <c r="A66" s="25" t="s">
        <v>367</v>
      </c>
    </row>
    <row r="67" ht="18.75" customHeight="1" spans="1:1">
      <c r="A67" s="25" t="s">
        <v>368</v>
      </c>
    </row>
    <row r="68" ht="18.75" customHeight="1" spans="1:1">
      <c r="A68" s="25" t="s">
        <v>369</v>
      </c>
    </row>
  </sheetData>
  <dataValidations count="1">
    <dataValidation allowBlank="1" sqref="F5:F34"/>
  </dataValidations>
  <pageMargins left="0.7" right="0.7" top="0.75" bottom="0.75" header="0.3" footer="0.3"/>
  <pageSetup paperSize="9" orientation="portrait"/>
  <headerFooter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4:U15"/>
  <sheetViews>
    <sheetView topLeftCell="K1" workbookViewId="0">
      <selection activeCell="O4" sqref="O4:O5"/>
    </sheetView>
  </sheetViews>
  <sheetFormatPr defaultColWidth="9" defaultRowHeight="15"/>
  <cols>
    <col min="1" max="1" width="3" customWidth="1"/>
    <col min="2" max="2" width="4.42857142857143" customWidth="1"/>
    <col min="3" max="3" width="27.2857142857143" customWidth="1"/>
    <col min="4" max="4" width="13.8571428571429" customWidth="1"/>
    <col min="5" max="6" width="8" customWidth="1"/>
    <col min="7" max="7" width="24.2857142857143" customWidth="1"/>
    <col min="8" max="8" width="12.4285714285714" customWidth="1"/>
    <col min="9" max="9" width="3.85714285714286" customWidth="1"/>
    <col min="10" max="10" width="11.1428571428571" customWidth="1"/>
    <col min="11" max="11" width="5.28571428571429" customWidth="1"/>
    <col min="12" max="12" width="17.4285714285714" customWidth="1"/>
    <col min="13" max="13" width="12.5714285714286" customWidth="1"/>
    <col min="14" max="14" width="10.5714285714286" customWidth="1"/>
    <col min="15" max="15" width="22.5714285714286" customWidth="1"/>
  </cols>
  <sheetData>
    <row r="4" s="1" customFormat="1" spans="1:21">
      <c r="A4" s="2">
        <v>1</v>
      </c>
      <c r="B4" s="3">
        <v>0.272222222222222</v>
      </c>
      <c r="C4" s="4" t="s">
        <v>50</v>
      </c>
      <c r="D4" s="5" t="s">
        <v>370</v>
      </c>
      <c r="E4" s="5">
        <v>5363720</v>
      </c>
      <c r="F4" s="5">
        <v>7399139</v>
      </c>
      <c r="G4" s="5" t="s">
        <v>371</v>
      </c>
      <c r="H4" s="6" t="s">
        <v>101</v>
      </c>
      <c r="I4" s="6">
        <v>1</v>
      </c>
      <c r="J4" s="10" t="s">
        <v>252</v>
      </c>
      <c r="K4" s="11">
        <v>4</v>
      </c>
      <c r="L4" s="12" t="s">
        <v>372</v>
      </c>
      <c r="M4" s="5" t="s">
        <v>104</v>
      </c>
      <c r="N4" s="2" t="s">
        <v>373</v>
      </c>
      <c r="O4" s="5" t="s">
        <v>374</v>
      </c>
      <c r="P4" s="2"/>
      <c r="Q4" s="14"/>
      <c r="R4" s="15" t="s">
        <v>375</v>
      </c>
      <c r="S4" s="16"/>
      <c r="T4" s="16"/>
      <c r="U4" s="17"/>
    </row>
    <row r="5" s="1" customFormat="1" spans="1:21">
      <c r="A5" s="7"/>
      <c r="B5" s="7"/>
      <c r="C5" s="7"/>
      <c r="D5" s="7"/>
      <c r="E5" s="7"/>
      <c r="F5" s="7"/>
      <c r="G5" s="7"/>
      <c r="H5" s="6" t="s">
        <v>90</v>
      </c>
      <c r="I5" s="6">
        <v>1</v>
      </c>
      <c r="J5" s="13" t="s">
        <v>309</v>
      </c>
      <c r="K5" s="5">
        <v>6</v>
      </c>
      <c r="L5" s="12" t="s">
        <v>372</v>
      </c>
      <c r="M5" s="7"/>
      <c r="N5" s="7"/>
      <c r="O5" s="7"/>
      <c r="P5" s="2"/>
      <c r="Q5" s="14"/>
      <c r="R5" s="18"/>
      <c r="S5" s="19"/>
      <c r="T5" s="19"/>
      <c r="U5" s="20"/>
    </row>
    <row r="6" spans="18:21">
      <c r="R6" s="18"/>
      <c r="S6" s="19"/>
      <c r="T6" s="19"/>
      <c r="U6" s="20"/>
    </row>
    <row r="7" spans="18:21">
      <c r="R7" s="21"/>
      <c r="S7" s="22"/>
      <c r="T7" s="22"/>
      <c r="U7" s="23"/>
    </row>
    <row r="9" s="1" customFormat="1" ht="12.75" customHeight="1" spans="1:21">
      <c r="A9" s="2">
        <v>14</v>
      </c>
      <c r="B9" s="3">
        <v>0.363888888888889</v>
      </c>
      <c r="C9" s="4" t="s">
        <v>49</v>
      </c>
      <c r="D9" s="5" t="s">
        <v>376</v>
      </c>
      <c r="E9" s="5">
        <v>5364462</v>
      </c>
      <c r="F9" s="5">
        <v>7386292</v>
      </c>
      <c r="G9" s="5" t="s">
        <v>371</v>
      </c>
      <c r="H9" s="5" t="s">
        <v>131</v>
      </c>
      <c r="I9" s="5">
        <v>2</v>
      </c>
      <c r="J9" s="6" t="s">
        <v>255</v>
      </c>
      <c r="K9" s="13">
        <v>2</v>
      </c>
      <c r="L9" s="12" t="s">
        <v>377</v>
      </c>
      <c r="M9" s="5" t="s">
        <v>104</v>
      </c>
      <c r="N9" s="2" t="s">
        <v>225</v>
      </c>
      <c r="O9" s="11" t="s">
        <v>374</v>
      </c>
      <c r="P9" s="2"/>
      <c r="Q9" s="14"/>
      <c r="R9" s="5" t="s">
        <v>378</v>
      </c>
      <c r="S9" s="16"/>
      <c r="T9" s="16"/>
      <c r="U9" s="17"/>
    </row>
    <row r="10" s="1" customFormat="1" ht="12.75" customHeight="1" spans="1:21">
      <c r="A10" s="8"/>
      <c r="B10" s="8"/>
      <c r="C10" s="8"/>
      <c r="D10" s="8"/>
      <c r="E10" s="8"/>
      <c r="F10" s="8"/>
      <c r="G10" s="8"/>
      <c r="H10" s="5" t="s">
        <v>131</v>
      </c>
      <c r="I10" s="5">
        <v>2</v>
      </c>
      <c r="J10" s="6" t="s">
        <v>259</v>
      </c>
      <c r="K10" s="13">
        <v>2</v>
      </c>
      <c r="L10" s="12" t="s">
        <v>377</v>
      </c>
      <c r="M10" s="5" t="s">
        <v>104</v>
      </c>
      <c r="N10" s="2" t="s">
        <v>225</v>
      </c>
      <c r="O10" s="11" t="s">
        <v>374</v>
      </c>
      <c r="P10" s="2"/>
      <c r="Q10" s="14"/>
      <c r="R10" s="18"/>
      <c r="S10" s="19"/>
      <c r="T10" s="19"/>
      <c r="U10" s="20"/>
    </row>
    <row r="11" s="1" customFormat="1" ht="12.75" customHeight="1" spans="1:21">
      <c r="A11" s="7"/>
      <c r="B11" s="7"/>
      <c r="C11" s="7"/>
      <c r="D11" s="7"/>
      <c r="E11" s="7"/>
      <c r="F11" s="7"/>
      <c r="G11" s="7"/>
      <c r="H11" s="5" t="s">
        <v>131</v>
      </c>
      <c r="I11" s="5">
        <v>1</v>
      </c>
      <c r="J11" s="6" t="s">
        <v>266</v>
      </c>
      <c r="K11" s="13">
        <v>1</v>
      </c>
      <c r="L11" s="12" t="s">
        <v>379</v>
      </c>
      <c r="M11" s="5" t="s">
        <v>104</v>
      </c>
      <c r="N11" s="2" t="s">
        <v>225</v>
      </c>
      <c r="O11" s="11" t="s">
        <v>374</v>
      </c>
      <c r="P11" s="2"/>
      <c r="Q11" s="14"/>
      <c r="R11" s="18"/>
      <c r="S11" s="19"/>
      <c r="T11" s="19"/>
      <c r="U11" s="20"/>
    </row>
    <row r="12" spans="1:21">
      <c r="A12" s="9"/>
      <c r="R12" s="21"/>
      <c r="S12" s="22"/>
      <c r="T12" s="22"/>
      <c r="U12" s="23"/>
    </row>
    <row r="13" spans="1:1">
      <c r="A13" s="9"/>
    </row>
    <row r="14" spans="1:1">
      <c r="A14" s="9"/>
    </row>
    <row r="15" spans="1:1">
      <c r="A15" s="9"/>
    </row>
  </sheetData>
  <mergeCells count="23">
    <mergeCell ref="A12:B12"/>
    <mergeCell ref="A13:B13"/>
    <mergeCell ref="A14:B14"/>
    <mergeCell ref="A15:B15"/>
    <mergeCell ref="A4:A5"/>
    <mergeCell ref="A9:A11"/>
    <mergeCell ref="B4:B5"/>
    <mergeCell ref="B9:B11"/>
    <mergeCell ref="C4:C5"/>
    <mergeCell ref="C9:C11"/>
    <mergeCell ref="D4:D5"/>
    <mergeCell ref="D9:D11"/>
    <mergeCell ref="E4:E5"/>
    <mergeCell ref="E9:E11"/>
    <mergeCell ref="F4:F5"/>
    <mergeCell ref="F9:F11"/>
    <mergeCell ref="G4:G5"/>
    <mergeCell ref="G9:G11"/>
    <mergeCell ref="M4:M5"/>
    <mergeCell ref="N4:N5"/>
    <mergeCell ref="O4:O5"/>
    <mergeCell ref="R4:U7"/>
    <mergeCell ref="R9:U12"/>
  </mergeCells>
  <dataValidations count="4">
    <dataValidation type="list" allowBlank="1" showInputMessage="1" showErrorMessage="1" sqref="C4 C9">
      <formula1>характер</formula1>
    </dataValidation>
    <dataValidation type="list" allowBlank="1" showInputMessage="1" showErrorMessage="1" sqref="M4 M9:M11">
      <formula1>цель</formula1>
    </dataValidation>
    <dataValidation type="list" allowBlank="1" showInputMessage="1" showErrorMessage="1" sqref="H4:H5 H9:H11">
      <formula1>дроны</formula1>
    </dataValidation>
    <dataValidation type="list" allowBlank="1" showInputMessage="1" showErrorMessage="1" sqref="J4:J5 J9:J11">
      <formula1>бп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главная</vt:lpstr>
      <vt:lpstr>8 (Отряд)</vt:lpstr>
      <vt:lpstr>ИТОГО</vt:lpstr>
      <vt:lpstr>Эффективность (...) дроны</vt:lpstr>
      <vt:lpstr>Справочная информация</vt:lpstr>
      <vt:lpstr>Уточнения</vt:lpstr>
      <vt:lpstr>Нетрогать </vt:lpstr>
      <vt:lpstr>Разделение ячеек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Ноктбук №3</dc:creator>
  <cp:lastModifiedBy>tastygin04</cp:lastModifiedBy>
  <dcterms:created xsi:type="dcterms:W3CDTF">2015-06-05T18:19:00Z</dcterms:created>
  <cp:lastPrinted>2025-07-04T04:28:00Z</cp:lastPrinted>
  <dcterms:modified xsi:type="dcterms:W3CDTF">2025-09-03T11:47:11Z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F5695FD8BB654D659835872C0E2A3498_13</vt:lpwstr>
  </property>
  <property fmtid="{D5CDD505-2E9C-101B-9397-08002B2CF9AE}" pid="3" name="KSOProductBuildVer">
    <vt:lpwstr>1049-12.2.0.22549</vt:lpwstr>
  </property>
</Properties>
</file>